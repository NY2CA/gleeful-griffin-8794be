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Ex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<sst xmlns="http://schemas.openxmlformats.org/spreadsheetml/2006/main" count="83" uniqueCount="66">
  <si>
    <t xml:space="preserve">CapEx Budget &amp; Tracker</t>
  </si>
  <si>
    <t xml:space="preserve">Line-item budget vs. actuals across the renovation program</t>
  </si>
  <si>
    <t xml:space="preserve">PROJECT PARAMETERS</t>
  </si>
  <si>
    <t xml:space="preserve">Unit Count</t>
  </si>
  <si>
    <t xml:space="preserve">Total Budget / Unit</t>
  </si>
  <si>
    <t xml:space="preserve">Actual Spend / Unit</t>
  </si>
  <si>
    <t xml:space="preserve">Line Item</t>
  </si>
  <si>
    <t xml:space="preserve">Budget</t>
  </si>
  <si>
    <t xml:space="preserve">Actual</t>
  </si>
  <si>
    <t xml:space="preserve">Variance</t>
  </si>
  <si>
    <t xml:space="preserve">Var %</t>
  </si>
  <si>
    <t xml:space="preserve">Completion %</t>
  </si>
  <si>
    <t xml:space="preserve">Vendor</t>
  </si>
  <si>
    <t xml:space="preserve">Status</t>
  </si>
  <si>
    <t xml:space="preserve">Notes</t>
  </si>
  <si>
    <t xml:space="preserve">— INTERIOR RENOVATION —</t>
  </si>
  <si>
    <t xml:space="preserve">Flooring (LVP)</t>
  </si>
  <si>
    <t xml:space="preserve">ABC Flooring</t>
  </si>
  <si>
    <t xml:space="preserve">In Progress</t>
  </si>
  <si>
    <t xml:space="preserve">Cabinets &amp; Countertops</t>
  </si>
  <si>
    <t xml:space="preserve">KitchenPro</t>
  </si>
  <si>
    <t xml:space="preserve">Paint &amp; Finishes</t>
  </si>
  <si>
    <t xml:space="preserve">Sherwin</t>
  </si>
  <si>
    <t xml:space="preserve">Lighting Package</t>
  </si>
  <si>
    <t xml:space="preserve">LightCo</t>
  </si>
  <si>
    <t xml:space="preserve">Plumbing Fixtures</t>
  </si>
  <si>
    <t xml:space="preserve">FlowPro</t>
  </si>
  <si>
    <t xml:space="preserve">Appliances</t>
  </si>
  <si>
    <t xml:space="preserve">GE Supply</t>
  </si>
  <si>
    <t xml:space="preserve">— EXTERIOR —</t>
  </si>
  <si>
    <t xml:space="preserve">Roof Repairs</t>
  </si>
  <si>
    <t xml:space="preserve">RoofMax</t>
  </si>
  <si>
    <t xml:space="preserve">Complete</t>
  </si>
  <si>
    <t xml:space="preserve">Paint / Siding</t>
  </si>
  <si>
    <t xml:space="preserve">Painters LLC</t>
  </si>
  <si>
    <t xml:space="preserve">Parking Lot Seal &amp; Stripe</t>
  </si>
  <si>
    <t xml:space="preserve">AsphaltCo</t>
  </si>
  <si>
    <t xml:space="preserve">Landscaping Overhaul</t>
  </si>
  <si>
    <t xml:space="preserve">GreenScape</t>
  </si>
  <si>
    <t xml:space="preserve">— AMENITIES —</t>
  </si>
  <si>
    <t xml:space="preserve">Pool Deck Renovation</t>
  </si>
  <si>
    <t xml:space="preserve">PoolMasters</t>
  </si>
  <si>
    <t xml:space="preserve">Clubhouse Refresh</t>
  </si>
  <si>
    <t xml:space="preserve">Interior Design Co</t>
  </si>
  <si>
    <t xml:space="preserve">Fitness Center Equipment</t>
  </si>
  <si>
    <t xml:space="preserve">FitnessCo</t>
  </si>
  <si>
    <t xml:space="preserve">Dog Park / Playground</t>
  </si>
  <si>
    <t xml:space="preserve">TBD</t>
  </si>
  <si>
    <t xml:space="preserve">Not Started</t>
  </si>
  <si>
    <t xml:space="preserve">— SYSTEMS —</t>
  </si>
  <si>
    <t xml:space="preserve">HVAC Replacements (partial)</t>
  </si>
  <si>
    <t xml:space="preserve">HVACPro</t>
  </si>
  <si>
    <t xml:space="preserve">Electrical Upgrades</t>
  </si>
  <si>
    <t xml:space="preserve">ElectricCo</t>
  </si>
  <si>
    <t xml:space="preserve">— CONTINGENCY &amp; SOFT —</t>
  </si>
  <si>
    <t xml:space="preserve">Contingency (10%)</t>
  </si>
  <si>
    <t xml:space="preserve">—</t>
  </si>
  <si>
    <t xml:space="preserve">Permits &amp; Fees</t>
  </si>
  <si>
    <t xml:space="preserve">Construction Management</t>
  </si>
  <si>
    <t xml:space="preserve">CM Co</t>
  </si>
  <si>
    <t xml:space="preserve">PROGRAM TOTALS</t>
  </si>
  <si>
    <t xml:space="preserve">Per Unit Metrics</t>
  </si>
  <si>
    <t xml:space="preserve">Budget / Unit</t>
  </si>
  <si>
    <t xml:space="preserve">Actual / Unit</t>
  </si>
  <si>
    <t xml:space="preserve">Variance / Unit</t>
  </si>
  <si>
    <t xml:space="preserve">Private &amp; Confidential · Rescia Properties, LLC · © 2026 · For single-user program use 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</si>
</sst>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D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B1D3A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A24B"/>
        <bgColor rgb="FFFF9900"/>
      </patternFill>
    </fill>
    <fill>
      <patternFill patternType="solid">
        <fgColor rgb="FFFFF9C4"/>
        <bgColor rgb="FFFFFF99"/>
      </patternFill>
    </fill>
    <fill>
      <patternFill patternType="solid">
        <fgColor rgb="FF0B1D3A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  <diagonal/>
    </border>
    <border diagonalUp="false" diagonalDown="false">
      <left/>
      <right/>
      <top style="medium">
        <color rgb="FF0B1D3A"/>
      </top>
      <bottom style="medium">
        <color rgb="FF0B1D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E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C9A24B"/>
      <rgbColor rgb="FF0B1D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28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B5" s="5" t="s">
        <v>3</v>
      </c>
      <c r="C5" s="6" t="n">
        <v>200</v>
      </c>
    </row>
    <row r="6" customFormat="false" ht="15" hidden="false" customHeight="false" outlineLevel="0" collapsed="false">
      <c r="B6" s="5" t="s">
        <v>4</v>
      </c>
      <c r="C6" s="7" t="n">
        <f aca="false">SUM(C10:C40)/C5</f>
        <v>33086.1</v>
      </c>
    </row>
    <row r="7" customFormat="false" ht="15" hidden="false" customHeight="false" outlineLevel="0" collapsed="false">
      <c r="B7" s="5" t="s">
        <v>5</v>
      </c>
      <c r="C7" s="7" t="n">
        <f aca="false">SUM(D10:D40)/C5</f>
        <v>17220</v>
      </c>
    </row>
    <row r="9" customFormat="false" ht="26.85" hidden="false" customHeight="false" outlineLevel="0" collapsed="false"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8" t="s">
        <v>13</v>
      </c>
      <c r="J9" s="8" t="s">
        <v>14</v>
      </c>
    </row>
    <row r="10" customFormat="false" ht="15" hidden="false" customHeight="true" outlineLevel="0" collapsed="false">
      <c r="B10" s="9" t="s">
        <v>15</v>
      </c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B11" s="10" t="s">
        <v>16</v>
      </c>
      <c r="C11" s="11" t="n">
        <v>600000</v>
      </c>
      <c r="D11" s="11" t="n">
        <v>300000</v>
      </c>
      <c r="E11" s="12" t="n">
        <f aca="false">D11-C11</f>
        <v>-300000</v>
      </c>
      <c r="F11" s="13" t="n">
        <f aca="false">IFERROR(E11/C11,0)</f>
        <v>-0.5</v>
      </c>
      <c r="G11" s="13" t="n">
        <f aca="false">IFERROR(D11/C11,0)</f>
        <v>0.5</v>
      </c>
      <c r="H11" s="10" t="s">
        <v>17</v>
      </c>
      <c r="I11" s="10" t="s">
        <v>18</v>
      </c>
      <c r="J11" s="10"/>
    </row>
    <row r="12" customFormat="false" ht="15" hidden="false" customHeight="false" outlineLevel="0" collapsed="false">
      <c r="B12" s="10" t="s">
        <v>19</v>
      </c>
      <c r="C12" s="11" t="n">
        <v>400000</v>
      </c>
      <c r="D12" s="11" t="n">
        <v>180000</v>
      </c>
      <c r="E12" s="12" t="n">
        <f aca="false">D12-C12</f>
        <v>-220000</v>
      </c>
      <c r="F12" s="13" t="n">
        <f aca="false">IFERROR(E12/C12,0)</f>
        <v>-0.55</v>
      </c>
      <c r="G12" s="13" t="n">
        <f aca="false">IFERROR(D12/C12,0)</f>
        <v>0.45</v>
      </c>
      <c r="H12" s="10" t="s">
        <v>20</v>
      </c>
      <c r="I12" s="10" t="s">
        <v>18</v>
      </c>
      <c r="J12" s="10"/>
    </row>
    <row r="13" customFormat="false" ht="15" hidden="false" customHeight="false" outlineLevel="0" collapsed="false">
      <c r="B13" s="10" t="s">
        <v>21</v>
      </c>
      <c r="C13" s="11" t="n">
        <v>200000</v>
      </c>
      <c r="D13" s="11" t="n">
        <v>95000</v>
      </c>
      <c r="E13" s="12" t="n">
        <f aca="false">D13-C13</f>
        <v>-105000</v>
      </c>
      <c r="F13" s="13" t="n">
        <f aca="false">IFERROR(E13/C13,0)</f>
        <v>-0.525</v>
      </c>
      <c r="G13" s="13" t="n">
        <f aca="false">IFERROR(D13/C13,0)</f>
        <v>0.475</v>
      </c>
      <c r="H13" s="10" t="s">
        <v>22</v>
      </c>
      <c r="I13" s="10" t="s">
        <v>18</v>
      </c>
      <c r="J13" s="10"/>
    </row>
    <row r="14" customFormat="false" ht="15" hidden="false" customHeight="false" outlineLevel="0" collapsed="false">
      <c r="B14" s="10" t="s">
        <v>23</v>
      </c>
      <c r="C14" s="11" t="n">
        <v>80000</v>
      </c>
      <c r="D14" s="11" t="n">
        <v>40000</v>
      </c>
      <c r="E14" s="12" t="n">
        <f aca="false">D14-C14</f>
        <v>-40000</v>
      </c>
      <c r="F14" s="13" t="n">
        <f aca="false">IFERROR(E14/C14,0)</f>
        <v>-0.5</v>
      </c>
      <c r="G14" s="13" t="n">
        <f aca="false">IFERROR(D14/C14,0)</f>
        <v>0.5</v>
      </c>
      <c r="H14" s="10" t="s">
        <v>24</v>
      </c>
      <c r="I14" s="10" t="s">
        <v>18</v>
      </c>
      <c r="J14" s="10"/>
    </row>
    <row r="15" customFormat="false" ht="15" hidden="false" customHeight="false" outlineLevel="0" collapsed="false">
      <c r="B15" s="10" t="s">
        <v>25</v>
      </c>
      <c r="C15" s="11" t="n">
        <v>120000</v>
      </c>
      <c r="D15" s="11" t="n">
        <v>55000</v>
      </c>
      <c r="E15" s="12" t="n">
        <f aca="false">D15-C15</f>
        <v>-65000</v>
      </c>
      <c r="F15" s="13" t="n">
        <f aca="false">IFERROR(E15/C15,0)</f>
        <v>-0.541666666666667</v>
      </c>
      <c r="G15" s="13" t="n">
        <f aca="false">IFERROR(D15/C15,0)</f>
        <v>0.458333333333333</v>
      </c>
      <c r="H15" s="10" t="s">
        <v>26</v>
      </c>
      <c r="I15" s="10" t="s">
        <v>18</v>
      </c>
      <c r="J15" s="10"/>
    </row>
    <row r="16" customFormat="false" ht="15" hidden="false" customHeight="false" outlineLevel="0" collapsed="false">
      <c r="B16" s="10" t="s">
        <v>27</v>
      </c>
      <c r="C16" s="11" t="n">
        <v>300000</v>
      </c>
      <c r="D16" s="11" t="n">
        <v>140000</v>
      </c>
      <c r="E16" s="12" t="n">
        <f aca="false">D16-C16</f>
        <v>-160000</v>
      </c>
      <c r="F16" s="13" t="n">
        <f aca="false">IFERROR(E16/C16,0)</f>
        <v>-0.533333333333333</v>
      </c>
      <c r="G16" s="13" t="n">
        <f aca="false">IFERROR(D16/C16,0)</f>
        <v>0.466666666666667</v>
      </c>
      <c r="H16" s="10" t="s">
        <v>28</v>
      </c>
      <c r="I16" s="10" t="s">
        <v>18</v>
      </c>
      <c r="J16" s="10"/>
    </row>
    <row r="17" customFormat="false" ht="15" hidden="false" customHeight="true" outlineLevel="0" collapsed="false">
      <c r="B17" s="9" t="s">
        <v>29</v>
      </c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B18" s="10" t="s">
        <v>30</v>
      </c>
      <c r="C18" s="11" t="n">
        <v>350000</v>
      </c>
      <c r="D18" s="11" t="n">
        <v>350000</v>
      </c>
      <c r="E18" s="12" t="n">
        <f aca="false">D18-C18</f>
        <v>0</v>
      </c>
      <c r="F18" s="13" t="n">
        <f aca="false">IFERROR(E18/C18,0)</f>
        <v>0</v>
      </c>
      <c r="G18" s="13" t="n">
        <f aca="false">IFERROR(D18/C18,0)</f>
        <v>1</v>
      </c>
      <c r="H18" s="10" t="s">
        <v>31</v>
      </c>
      <c r="I18" s="10" t="s">
        <v>32</v>
      </c>
      <c r="J18" s="10"/>
    </row>
    <row r="19" customFormat="false" ht="15" hidden="false" customHeight="false" outlineLevel="0" collapsed="false">
      <c r="B19" s="10" t="s">
        <v>33</v>
      </c>
      <c r="C19" s="11" t="n">
        <v>220000</v>
      </c>
      <c r="D19" s="11" t="n">
        <v>110000</v>
      </c>
      <c r="E19" s="12" t="n">
        <f aca="false">D19-C19</f>
        <v>-110000</v>
      </c>
      <c r="F19" s="13" t="n">
        <f aca="false">IFERROR(E19/C19,0)</f>
        <v>-0.5</v>
      </c>
      <c r="G19" s="13" t="n">
        <f aca="false">IFERROR(D19/C19,0)</f>
        <v>0.5</v>
      </c>
      <c r="H19" s="10" t="s">
        <v>34</v>
      </c>
      <c r="I19" s="10" t="s">
        <v>18</v>
      </c>
      <c r="J19" s="10"/>
    </row>
    <row r="20" customFormat="false" ht="15" hidden="false" customHeight="false" outlineLevel="0" collapsed="false">
      <c r="B20" s="10" t="s">
        <v>35</v>
      </c>
      <c r="C20" s="11" t="n">
        <v>80000</v>
      </c>
      <c r="D20" s="11" t="n">
        <v>80000</v>
      </c>
      <c r="E20" s="12" t="n">
        <f aca="false">D20-C20</f>
        <v>0</v>
      </c>
      <c r="F20" s="13" t="n">
        <f aca="false">IFERROR(E20/C20,0)</f>
        <v>0</v>
      </c>
      <c r="G20" s="13" t="n">
        <f aca="false">IFERROR(D20/C20,0)</f>
        <v>1</v>
      </c>
      <c r="H20" s="10" t="s">
        <v>36</v>
      </c>
      <c r="I20" s="10" t="s">
        <v>32</v>
      </c>
      <c r="J20" s="10"/>
    </row>
    <row r="21" customFormat="false" ht="15" hidden="false" customHeight="false" outlineLevel="0" collapsed="false">
      <c r="B21" s="10" t="s">
        <v>37</v>
      </c>
      <c r="C21" s="11" t="n">
        <v>60000</v>
      </c>
      <c r="D21" s="11" t="n">
        <v>25000</v>
      </c>
      <c r="E21" s="12" t="n">
        <f aca="false">D21-C21</f>
        <v>-35000</v>
      </c>
      <c r="F21" s="13" t="n">
        <f aca="false">IFERROR(E21/C21,0)</f>
        <v>-0.583333333333333</v>
      </c>
      <c r="G21" s="13" t="n">
        <f aca="false">IFERROR(D21/C21,0)</f>
        <v>0.416666666666667</v>
      </c>
      <c r="H21" s="10" t="s">
        <v>38</v>
      </c>
      <c r="I21" s="10" t="s">
        <v>18</v>
      </c>
      <c r="J21" s="10"/>
    </row>
    <row r="22" customFormat="false" ht="15" hidden="false" customHeight="true" outlineLevel="0" collapsed="false">
      <c r="B22" s="9" t="s">
        <v>39</v>
      </c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B23" s="10" t="s">
        <v>40</v>
      </c>
      <c r="C23" s="11" t="n">
        <v>90000</v>
      </c>
      <c r="D23" s="11" t="n">
        <v>60000</v>
      </c>
      <c r="E23" s="12" t="n">
        <f aca="false">D23-C23</f>
        <v>-30000</v>
      </c>
      <c r="F23" s="13" t="n">
        <f aca="false">IFERROR(E23/C23,0)</f>
        <v>-0.333333333333333</v>
      </c>
      <c r="G23" s="13" t="n">
        <f aca="false">IFERROR(D23/C23,0)</f>
        <v>0.666666666666667</v>
      </c>
      <c r="H23" s="10" t="s">
        <v>41</v>
      </c>
      <c r="I23" s="10" t="s">
        <v>18</v>
      </c>
      <c r="J23" s="10"/>
    </row>
    <row r="24" customFormat="false" ht="15" hidden="false" customHeight="false" outlineLevel="0" collapsed="false">
      <c r="B24" s="10" t="s">
        <v>42</v>
      </c>
      <c r="C24" s="11" t="n">
        <v>120000</v>
      </c>
      <c r="D24" s="11" t="n">
        <v>40000</v>
      </c>
      <c r="E24" s="12" t="n">
        <f aca="false">D24-C24</f>
        <v>-80000</v>
      </c>
      <c r="F24" s="13" t="n">
        <f aca="false">IFERROR(E24/C24,0)</f>
        <v>-0.666666666666667</v>
      </c>
      <c r="G24" s="13" t="n">
        <f aca="false">IFERROR(D24/C24,0)</f>
        <v>0.333333333333333</v>
      </c>
      <c r="H24" s="10" t="s">
        <v>43</v>
      </c>
      <c r="I24" s="10" t="s">
        <v>18</v>
      </c>
      <c r="J24" s="10"/>
    </row>
    <row r="25" customFormat="false" ht="15" hidden="false" customHeight="false" outlineLevel="0" collapsed="false">
      <c r="B25" s="10" t="s">
        <v>44</v>
      </c>
      <c r="C25" s="11" t="n">
        <v>50000</v>
      </c>
      <c r="D25" s="11" t="n">
        <v>50000</v>
      </c>
      <c r="E25" s="12" t="n">
        <f aca="false">D25-C25</f>
        <v>0</v>
      </c>
      <c r="F25" s="13" t="n">
        <f aca="false">IFERROR(E25/C25,0)</f>
        <v>0</v>
      </c>
      <c r="G25" s="13" t="n">
        <f aca="false">IFERROR(D25/C25,0)</f>
        <v>1</v>
      </c>
      <c r="H25" s="10" t="s">
        <v>45</v>
      </c>
      <c r="I25" s="10" t="s">
        <v>32</v>
      </c>
      <c r="J25" s="10"/>
    </row>
    <row r="26" customFormat="false" ht="15" hidden="false" customHeight="false" outlineLevel="0" collapsed="false">
      <c r="B26" s="10" t="s">
        <v>46</v>
      </c>
      <c r="C26" s="11" t="n">
        <v>30000</v>
      </c>
      <c r="D26" s="11" t="n">
        <v>0</v>
      </c>
      <c r="E26" s="12" t="n">
        <f aca="false">D26-C26</f>
        <v>-30000</v>
      </c>
      <c r="F26" s="13" t="n">
        <f aca="false">IFERROR(E26/C26,0)</f>
        <v>-1</v>
      </c>
      <c r="G26" s="13" t="n">
        <f aca="false">IFERROR(D26/C26,0)</f>
        <v>0</v>
      </c>
      <c r="H26" s="10" t="s">
        <v>47</v>
      </c>
      <c r="I26" s="10" t="s">
        <v>48</v>
      </c>
      <c r="J26" s="10"/>
    </row>
    <row r="27" customFormat="false" ht="15" hidden="false" customHeight="true" outlineLevel="0" collapsed="false">
      <c r="B27" s="9" t="s">
        <v>49</v>
      </c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B28" s="10" t="s">
        <v>50</v>
      </c>
      <c r="C28" s="11" t="n">
        <v>200000</v>
      </c>
      <c r="D28" s="11" t="n">
        <v>120000</v>
      </c>
      <c r="E28" s="12" t="n">
        <f aca="false">D28-C28</f>
        <v>-80000</v>
      </c>
      <c r="F28" s="13" t="n">
        <f aca="false">IFERROR(E28/C28,0)</f>
        <v>-0.4</v>
      </c>
      <c r="G28" s="13" t="n">
        <f aca="false">IFERROR(D28/C28,0)</f>
        <v>0.6</v>
      </c>
      <c r="H28" s="10" t="s">
        <v>51</v>
      </c>
      <c r="I28" s="10" t="s">
        <v>18</v>
      </c>
      <c r="J28" s="10"/>
    </row>
    <row r="29" customFormat="false" ht="15" hidden="false" customHeight="false" outlineLevel="0" collapsed="false">
      <c r="B29" s="10" t="s">
        <v>52</v>
      </c>
      <c r="C29" s="11" t="n">
        <v>60000</v>
      </c>
      <c r="D29" s="11" t="n">
        <v>30000</v>
      </c>
      <c r="E29" s="12" t="n">
        <f aca="false">D29-C29</f>
        <v>-30000</v>
      </c>
      <c r="F29" s="13" t="n">
        <f aca="false">IFERROR(E29/C29,0)</f>
        <v>-0.5</v>
      </c>
      <c r="G29" s="13" t="n">
        <f aca="false">IFERROR(D29/C29,0)</f>
        <v>0.5</v>
      </c>
      <c r="H29" s="10" t="s">
        <v>53</v>
      </c>
      <c r="I29" s="10" t="s">
        <v>18</v>
      </c>
      <c r="J29" s="10"/>
    </row>
    <row r="30" customFormat="false" ht="15" hidden="false" customHeight="true" outlineLevel="0" collapsed="false">
      <c r="B30" s="9" t="s">
        <v>54</v>
      </c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B31" s="10" t="s">
        <v>55</v>
      </c>
      <c r="C31" s="11" t="n">
        <v>240000</v>
      </c>
      <c r="D31" s="11" t="n">
        <v>0</v>
      </c>
      <c r="E31" s="12" t="n">
        <f aca="false">D31-C31</f>
        <v>-240000</v>
      </c>
      <c r="F31" s="13" t="n">
        <f aca="false">IFERROR(E31/C31,0)</f>
        <v>-1</v>
      </c>
      <c r="G31" s="13" t="n">
        <f aca="false">IFERROR(D31/C31,0)</f>
        <v>0</v>
      </c>
      <c r="H31" s="10" t="s">
        <v>56</v>
      </c>
      <c r="I31" s="10" t="s">
        <v>48</v>
      </c>
      <c r="J31" s="10"/>
    </row>
    <row r="32" customFormat="false" ht="15" hidden="false" customHeight="false" outlineLevel="0" collapsed="false">
      <c r="B32" s="10" t="s">
        <v>57</v>
      </c>
      <c r="C32" s="11" t="n">
        <v>20000</v>
      </c>
      <c r="D32" s="11" t="n">
        <v>12000</v>
      </c>
      <c r="E32" s="12" t="n">
        <f aca="false">D32-C32</f>
        <v>-8000</v>
      </c>
      <c r="F32" s="13" t="n">
        <f aca="false">IFERROR(E32/C32,0)</f>
        <v>-0.4</v>
      </c>
      <c r="G32" s="13" t="n">
        <f aca="false">IFERROR(D32/C32,0)</f>
        <v>0.6</v>
      </c>
      <c r="H32" s="10" t="s">
        <v>56</v>
      </c>
      <c r="I32" s="10" t="s">
        <v>18</v>
      </c>
      <c r="J32" s="10"/>
    </row>
    <row r="33" customFormat="false" ht="15" hidden="false" customHeight="false" outlineLevel="0" collapsed="false">
      <c r="B33" s="10" t="s">
        <v>58</v>
      </c>
      <c r="C33" s="11" t="n">
        <v>80000</v>
      </c>
      <c r="D33" s="11" t="n">
        <v>35000</v>
      </c>
      <c r="E33" s="12" t="n">
        <f aca="false">D33-C33</f>
        <v>-45000</v>
      </c>
      <c r="F33" s="13" t="n">
        <f aca="false">IFERROR(E33/C33,0)</f>
        <v>-0.5625</v>
      </c>
      <c r="G33" s="13" t="n">
        <f aca="false">IFERROR(D33/C33,0)</f>
        <v>0.4375</v>
      </c>
      <c r="H33" s="10" t="s">
        <v>59</v>
      </c>
      <c r="I33" s="10" t="s">
        <v>18</v>
      </c>
      <c r="J33" s="10"/>
    </row>
    <row r="35" customFormat="false" ht="15" hidden="false" customHeight="false" outlineLevel="0" collapsed="false">
      <c r="B35" s="14" t="s">
        <v>60</v>
      </c>
      <c r="C35" s="15" t="n">
        <f aca="false">SUMPRODUCT((C10:C33)*(C10:C33&gt;0))</f>
        <v>3300000</v>
      </c>
      <c r="D35" s="15" t="n">
        <f aca="false">SUMPRODUCT((D10:D33)*(D10:D33&gt;0))</f>
        <v>1722000</v>
      </c>
      <c r="E35" s="15" t="n">
        <f aca="false">D35-C35</f>
        <v>-1578000</v>
      </c>
      <c r="F35" s="16" t="n">
        <f aca="false">IFERROR(E35/C35,0)</f>
        <v>-0.478181818181818</v>
      </c>
      <c r="G35" s="16" t="n">
        <f aca="false">IFERROR(D35/C35,0)</f>
        <v>0.521818181818182</v>
      </c>
      <c r="H35" s="17"/>
      <c r="I35" s="17"/>
      <c r="J35" s="17"/>
    </row>
    <row r="37" customFormat="false" ht="15" hidden="false" customHeight="false" outlineLevel="0" collapsed="false">
      <c r="B37" s="18" t="s">
        <v>61</v>
      </c>
    </row>
    <row r="38" customFormat="false" ht="15" hidden="false" customHeight="false" outlineLevel="0" collapsed="false">
      <c r="B38" s="5" t="s">
        <v>62</v>
      </c>
      <c r="C38" s="7" t="n">
        <f aca="false">C35/C5</f>
        <v>16500</v>
      </c>
    </row>
    <row r="39" customFormat="false" ht="15" hidden="false" customHeight="false" outlineLevel="0" collapsed="false">
      <c r="B39" s="5" t="s">
        <v>63</v>
      </c>
      <c r="C39" s="7" t="n">
        <f aca="false">D35/C5</f>
        <v>8610</v>
      </c>
    </row>
    <row r="40" customFormat="false" ht="15" hidden="false" customHeight="false" outlineLevel="0" collapsed="false">
      <c r="B40" s="5" t="s">
        <v>64</v>
      </c>
      <c r="C40" s="7" t="n">
        <f aca="false">E35/C5</f>
        <v>-7890</v>
      </c>
    </row>
    <row r="43" customFormat="false" ht="15" hidden="false" customHeight="false" outlineLevel="0" collapsed="false">
      <c r="A43" s="19" t="s">
        <v>65</v>
      </c>
      <c r="B43" s="4"/>
      <c r="C43" s="4"/>
      <c r="D43" s="4"/>
      <c r="E43" s="4"/>
      <c r="F43" s="4"/>
      <c r="G43" s="4"/>
      <c r="H43" s="4"/>
      <c r="I43" s="4"/>
      <c r="J43" s="4"/>
    </row>
  </sheetData>
  <mergeCells count="9">
    <mergeCell ref="B1:J1"/>
    <mergeCell ref="B2:J2"/>
    <mergeCell ref="B4:J4"/>
    <mergeCell ref="B10:J10"/>
    <mergeCell ref="B17:J17"/>
    <mergeCell ref="B22:J22"/>
    <mergeCell ref="B27:J27"/>
    <mergeCell ref="B30:J30"/>
    <mergeCell ref="B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2026-04-22T01:14:16Z</dcterms:created>
  <dc:creator>openpyxl</dc:creator>
  <dc:description/>
  <dc:language>en-US</dc:language>
  <cp:lastModifiedBy/>
  <dcterms:modified xsi:type="dcterms:W3CDTF">2026-04-22T01:14:16Z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