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 Pipeline" sheetId="1" state="visible" r:id="rId3"/>
    <sheet name="Stages &amp; Defini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<sst xmlns="http://schemas.openxmlformats.org/spreadsheetml/2006/main" count="102" uniqueCount="94">
  <si>
    <t xml:space="preserve">Investor Pipeline CRM</t>
  </si>
  <si>
    <t xml:space="preserve">Track commitments, funded status, and next actions</t>
  </si>
  <si>
    <t xml:space="preserve">First Name</t>
  </si>
  <si>
    <t xml:space="preserve">Last Name</t>
  </si>
  <si>
    <t xml:space="preserve">Entity</t>
  </si>
  <si>
    <t xml:space="preserve">Email</t>
  </si>
  <si>
    <t xml:space="preserve">Phone</t>
  </si>
  <si>
    <t xml:space="preserve">Accred. Status</t>
  </si>
  <si>
    <t xml:space="preserve">Stage</t>
  </si>
  <si>
    <t xml:space="preserve">Soft Commit ($)</t>
  </si>
  <si>
    <t xml:space="preserve">Hard Commit ($)</t>
  </si>
  <si>
    <t xml:space="preserve">Funded ($)</t>
  </si>
  <si>
    <t xml:space="preserve">Source</t>
  </si>
  <si>
    <t xml:space="preserve">Last Contact</t>
  </si>
  <si>
    <t xml:space="preserve">Next Action</t>
  </si>
  <si>
    <t xml:space="preserve">Notes</t>
  </si>
  <si>
    <t xml:space="preserve">James</t>
  </si>
  <si>
    <t xml:space="preserve">Carter</t>
  </si>
  <si>
    <t xml:space="preserve">Carter Family Office</t>
  </si>
  <si>
    <t xml:space="preserve">j.carter@example.com</t>
  </si>
  <si>
    <t xml:space="preserve">(212) 555-0102</t>
  </si>
  <si>
    <t xml:space="preserve">Accredited</t>
  </si>
  <si>
    <t xml:space="preserve">Committed</t>
  </si>
  <si>
    <t xml:space="preserve">Referral — Smith</t>
  </si>
  <si>
    <t xml:space="preserve">2026-02-15</t>
  </si>
  <si>
    <t xml:space="preserve">K-1 distribution</t>
  </si>
  <si>
    <t xml:space="preserve">Repeat LP, fast closer</t>
  </si>
  <si>
    <t xml:space="preserve">Priya</t>
  </si>
  <si>
    <t xml:space="preserve">Shah</t>
  </si>
  <si>
    <t xml:space="preserve">Shah Capital LLC</t>
  </si>
  <si>
    <t xml:space="preserve">priya@shahcap.com</t>
  </si>
  <si>
    <t xml:space="preserve">(312) 555-0188</t>
  </si>
  <si>
    <t xml:space="preserve">Soft Commit</t>
  </si>
  <si>
    <t xml:space="preserve">Webinar Feb 26</t>
  </si>
  <si>
    <t xml:space="preserve">2026-03-04</t>
  </si>
  <si>
    <t xml:space="preserve">Send PPM</t>
  </si>
  <si>
    <t xml:space="preserve">Expressed interest in Dallas MSA</t>
  </si>
  <si>
    <t xml:space="preserve">Daniel</t>
  </si>
  <si>
    <t xml:space="preserve">Wu</t>
  </si>
  <si>
    <t xml:space="preserve">Wu Holdings</t>
  </si>
  <si>
    <t xml:space="preserve">dwu@example.com</t>
  </si>
  <si>
    <t xml:space="preserve">(415) 555-0173</t>
  </si>
  <si>
    <t xml:space="preserve">Lead</t>
  </si>
  <si>
    <t xml:space="preserve">LinkedIn</t>
  </si>
  <si>
    <t xml:space="preserve">2026-03-11</t>
  </si>
  <si>
    <t xml:space="preserve">Call next week</t>
  </si>
  <si>
    <t xml:space="preserve">Warm intro from Ben</t>
  </si>
  <si>
    <t xml:space="preserve">Sarah</t>
  </si>
  <si>
    <t xml:space="preserve">Reilly</t>
  </si>
  <si>
    <t xml:space="preserve">—</t>
  </si>
  <si>
    <t xml:space="preserve">sarah.r@example.com</t>
  </si>
  <si>
    <t xml:space="preserve">(404) 555-0147</t>
  </si>
  <si>
    <t xml:space="preserve">Subscribed</t>
  </si>
  <si>
    <t xml:space="preserve">Newsletter</t>
  </si>
  <si>
    <t xml:space="preserve">2026-02-20</t>
  </si>
  <si>
    <t xml:space="preserve">Welcome email</t>
  </si>
  <si>
    <t xml:space="preserve">First-time LP</t>
  </si>
  <si>
    <t xml:space="preserve">Mike</t>
  </si>
  <si>
    <t xml:space="preserve">Alvarez</t>
  </si>
  <si>
    <t xml:space="preserve">Alvarez Invest.</t>
  </si>
  <si>
    <t xml:space="preserve">mike@alvarezinv.com</t>
  </si>
  <si>
    <t xml:space="preserve">(602) 555-0119</t>
  </si>
  <si>
    <t xml:space="preserve">Not Verified</t>
  </si>
  <si>
    <t xml:space="preserve">Mutual friend</t>
  </si>
  <si>
    <t xml:space="preserve">2026-03-08</t>
  </si>
  <si>
    <t xml:space="preserve">Request accred. docs</t>
  </si>
  <si>
    <t xml:space="preserve">Potential $250-500k</t>
  </si>
  <si>
    <t xml:space="preserve">PIPELINE SUMMARY</t>
  </si>
  <si>
    <t xml:space="preserve">Total Soft Commits</t>
  </si>
  <si>
    <t xml:space="preserve">Total Hard Commits</t>
  </si>
  <si>
    <t xml:space="preserve">Total Funded</t>
  </si>
  <si>
    <t xml:space="preserve">Avg Commit Size</t>
  </si>
  <si>
    <t xml:space="preserve">Count of LPs (Hard Commit)</t>
  </si>
  <si>
    <t xml:space="preserve">Count of LPs (Leads)</t>
  </si>
  <si>
    <t xml:space="preserve">RAISE PROGRESS</t>
  </si>
  <si>
    <t xml:space="preserve">Target Equity</t>
  </si>
  <si>
    <t xml:space="preserve">% Hard Committed</t>
  </si>
  <si>
    <t xml:space="preserve">Remaining to Raise</t>
  </si>
  <si>
    <t xml:space="preserve">Private &amp; Confidential · Rescia Properties, LLC · © 2026 · For single-user program use only</t>
  </si>
  <si>
    <t xml:space="preserve">Stage Definitions</t>
  </si>
  <si>
    <t xml:space="preserve">Shared vocabulary for the pipeline</t>
  </si>
  <si>
    <t xml:space="preserve">Initial contact; accreditation unknown or unverified.</t>
  </si>
  <si>
    <t xml:space="preserve">Qualified</t>
  </si>
  <si>
    <t xml:space="preserve">Accreditation verified; expressed interest in investing.</t>
  </si>
  <si>
    <t xml:space="preserve">Nurture</t>
  </si>
  <si>
    <t xml:space="preserve">Not ready for this deal; maintain relationship for future.</t>
  </si>
  <si>
    <t xml:space="preserve">Verbal commitment; no subscription docs.</t>
  </si>
  <si>
    <t xml:space="preserve">Hard Commit</t>
  </si>
  <si>
    <t xml:space="preserve">Signed subscription agreement; wire pending.</t>
  </si>
  <si>
    <t xml:space="preserve">Subscription docs signed.</t>
  </si>
  <si>
    <t xml:space="preserve">Funded</t>
  </si>
  <si>
    <t xml:space="preserve">Wire received; LP onboarded.</t>
  </si>
  <si>
    <t xml:space="preserve">Passed</t>
  </si>
  <si>
    <t xml:space="preserve">Declined this deal; update future outreach.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</si>
</sst>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#,##0;\(#,##0\);\-"/>
    <numFmt numFmtId="167" formatCode="0.0%;\(0.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1D3A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0B1D3A"/>
      <name val="Arial"/>
      <family val="0"/>
      <charset val="1"/>
    </font>
    <font>
      <b val="true"/>
      <sz val="10"/>
      <color rgb="FF0B1D3A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D3A"/>
        <bgColor rgb="FF003300"/>
      </patternFill>
    </fill>
    <fill>
      <patternFill patternType="solid">
        <fgColor rgb="FFFFF9C4"/>
        <bgColor rgb="FFFFFF99"/>
      </patternFill>
    </fill>
    <fill>
      <patternFill patternType="solid">
        <fgColor rgb="FFC9A24B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0BE"/>
      </left>
      <right style="thin">
        <color rgb="FFD8D0BE"/>
      </right>
      <top style="thin">
        <color rgb="FFD8D0BE"/>
      </top>
      <bottom style="thin">
        <color rgb="FFD8D0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0BE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C9A24B"/>
      <rgbColor rgb="FF0B1D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28"/>
  </cols>
  <sheetData>
    <row r="1" customFormat="false" ht="27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6.85" hidden="false" customHeight="fals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</row>
    <row r="5" customFormat="false" ht="23.85" hidden="false" customHeight="false" outlineLevel="0" collapsed="false"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5" t="s">
        <v>22</v>
      </c>
      <c r="I5" s="5" t="n">
        <v>250000</v>
      </c>
      <c r="J5" s="5" t="n">
        <v>250000</v>
      </c>
      <c r="K5" s="4" t="n">
        <v>250000</v>
      </c>
      <c r="L5" s="4" t="s">
        <v>23</v>
      </c>
      <c r="M5" s="4" t="s">
        <v>24</v>
      </c>
      <c r="N5" s="4" t="s">
        <v>25</v>
      </c>
      <c r="O5" s="4" t="s">
        <v>26</v>
      </c>
    </row>
    <row r="6" customFormat="false" ht="23.85" hidden="false" customHeight="false" outlineLevel="0" collapsed="false"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21</v>
      </c>
      <c r="H6" s="5" t="s">
        <v>32</v>
      </c>
      <c r="I6" s="5" t="n">
        <v>500000</v>
      </c>
      <c r="J6" s="5" t="n">
        <v>0</v>
      </c>
      <c r="K6" s="4" t="n">
        <v>0</v>
      </c>
      <c r="L6" s="4" t="s">
        <v>33</v>
      </c>
      <c r="M6" s="4" t="s">
        <v>34</v>
      </c>
      <c r="N6" s="4" t="s">
        <v>35</v>
      </c>
      <c r="O6" s="4" t="s">
        <v>36</v>
      </c>
    </row>
    <row r="7" customFormat="false" ht="15" hidden="false" customHeight="false" outlineLevel="0" collapsed="false"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21</v>
      </c>
      <c r="H7" s="5" t="s">
        <v>42</v>
      </c>
      <c r="I7" s="5" t="n">
        <v>0</v>
      </c>
      <c r="J7" s="5" t="n">
        <v>0</v>
      </c>
      <c r="K7" s="4" t="n">
        <v>0</v>
      </c>
      <c r="L7" s="4" t="s">
        <v>43</v>
      </c>
      <c r="M7" s="4" t="s">
        <v>44</v>
      </c>
      <c r="N7" s="4" t="s">
        <v>45</v>
      </c>
      <c r="O7" s="4" t="s">
        <v>46</v>
      </c>
    </row>
    <row r="8" customFormat="false" ht="15" hidden="false" customHeight="false" outlineLevel="0" collapsed="false"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21</v>
      </c>
      <c r="H8" s="5" t="s">
        <v>52</v>
      </c>
      <c r="I8" s="5" t="n">
        <v>150000</v>
      </c>
      <c r="J8" s="5" t="n">
        <v>150000</v>
      </c>
      <c r="K8" s="4" t="n">
        <v>150000</v>
      </c>
      <c r="L8" s="4" t="s">
        <v>53</v>
      </c>
      <c r="M8" s="4" t="s">
        <v>54</v>
      </c>
      <c r="N8" s="4" t="s">
        <v>55</v>
      </c>
      <c r="O8" s="4" t="s">
        <v>56</v>
      </c>
    </row>
    <row r="9" customFormat="false" ht="23.85" hidden="false" customHeight="false" outlineLevel="0" collapsed="false"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5" t="s">
        <v>42</v>
      </c>
      <c r="I9" s="5" t="n">
        <v>0</v>
      </c>
      <c r="J9" s="5" t="n">
        <v>0</v>
      </c>
      <c r="K9" s="4" t="n">
        <v>0</v>
      </c>
      <c r="L9" s="4" t="s">
        <v>63</v>
      </c>
      <c r="M9" s="4" t="s">
        <v>64</v>
      </c>
      <c r="N9" s="4" t="s">
        <v>65</v>
      </c>
      <c r="O9" s="4" t="s">
        <v>66</v>
      </c>
    </row>
    <row r="10" customFormat="false" ht="15" hidden="false" customHeight="false" outlineLevel="0" collapsed="false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5" hidden="false" customHeight="false" outlineLevel="0" collapsed="false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customFormat="false" ht="15" hidden="false" customHeight="false" outlineLevel="0" collapsed="false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5" hidden="false" customHeight="false" outlineLevel="0" collapsed="false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customFormat="false" ht="15" hidden="false" customHeight="false" outlineLevel="0" collapsed="false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15" hidden="false" customHeight="false" outlineLevel="0" collapsed="false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customFormat="false" ht="15" hidden="false" customHeight="false" outlineLevel="0" collapsed="false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customFormat="false" ht="15" hidden="false" customHeight="false" outlineLevel="0" collapsed="false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customFormat="false" ht="15" hidden="false" customHeight="false" outlineLevel="0" collapsed="false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customFormat="false" ht="15" hidden="false" customHeight="false" outlineLevel="0" collapsed="false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5" hidden="false" customHeight="false" outlineLevel="0" collapsed="false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5" hidden="false" customHeight="false" outlineLevel="0" collapsed="false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Format="false" ht="15" hidden="false" customHeight="false" outlineLevel="0" collapsed="false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15" hidden="false" customHeight="false" outlineLevel="0" collapsed="false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customFormat="false" ht="15" hidden="false" customHeight="false" outlineLevel="0" collapsed="false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6" customFormat="false" ht="21.75" hidden="false" customHeight="true" outlineLevel="0" collapsed="false">
      <c r="A26" s="7" t="s">
        <v>67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15" hidden="false" customHeight="false" outlineLevel="0" collapsed="false">
      <c r="B27" s="9" t="s">
        <v>68</v>
      </c>
      <c r="C27" s="10" t="n">
        <f aca="false">SUM(I5:I25)</f>
        <v>900000</v>
      </c>
    </row>
    <row r="28" customFormat="false" ht="15" hidden="false" customHeight="false" outlineLevel="0" collapsed="false">
      <c r="B28" s="9" t="s">
        <v>69</v>
      </c>
      <c r="C28" s="10" t="n">
        <f aca="false">SUM(J5:J25)</f>
        <v>400000</v>
      </c>
    </row>
    <row r="29" customFormat="false" ht="15" hidden="false" customHeight="false" outlineLevel="0" collapsed="false">
      <c r="B29" s="9" t="s">
        <v>70</v>
      </c>
      <c r="C29" s="10" t="n">
        <f aca="false">SUM(K5:K25)</f>
        <v>400000</v>
      </c>
    </row>
    <row r="30" customFormat="false" ht="15" hidden="false" customHeight="false" outlineLevel="0" collapsed="false">
      <c r="B30" s="9" t="s">
        <v>71</v>
      </c>
      <c r="C30" s="10" t="n">
        <f aca="false">IFERROR(AVERAGEIF(J5:J25,"&gt;0"),0)</f>
        <v>200000</v>
      </c>
    </row>
    <row r="31" customFormat="false" ht="15" hidden="false" customHeight="false" outlineLevel="0" collapsed="false">
      <c r="B31" s="9" t="s">
        <v>72</v>
      </c>
      <c r="C31" s="11" t="n">
        <f aca="false">COUNTIF(J5:J25,"&gt;0")</f>
        <v>2</v>
      </c>
    </row>
    <row r="32" customFormat="false" ht="15" hidden="false" customHeight="false" outlineLevel="0" collapsed="false">
      <c r="B32" s="9" t="s">
        <v>73</v>
      </c>
      <c r="C32" s="11" t="n">
        <f aca="false">COUNTIF(H5:H25,"Lead")</f>
        <v>2</v>
      </c>
    </row>
    <row r="34" customFormat="false" ht="21.75" hidden="false" customHeight="true" outlineLevel="0" collapsed="false">
      <c r="A34" s="7" t="s">
        <v>74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customFormat="false" ht="15" hidden="false" customHeight="false" outlineLevel="0" collapsed="false">
      <c r="B35" s="9" t="s">
        <v>75</v>
      </c>
      <c r="C35" s="12" t="n">
        <v>10000000</v>
      </c>
    </row>
    <row r="36" customFormat="false" ht="15" hidden="false" customHeight="false" outlineLevel="0" collapsed="false">
      <c r="B36" s="9" t="s">
        <v>76</v>
      </c>
      <c r="C36" s="13" t="n">
        <f aca="false">J28/C35</f>
        <v>0</v>
      </c>
    </row>
    <row r="37" customFormat="false" ht="15" hidden="false" customHeight="false" outlineLevel="0" collapsed="false">
      <c r="B37" s="9" t="s">
        <v>77</v>
      </c>
      <c r="C37" s="10" t="n">
        <f aca="false">C35-J28</f>
        <v>10000000</v>
      </c>
    </row>
    <row r="40" customFormat="false" ht="15" hidden="false" customHeight="false" outlineLevel="0" collapsed="false">
      <c r="A40" s="14" t="s">
        <v>78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</sheetData>
  <mergeCells count="5">
    <mergeCell ref="B1:O1"/>
    <mergeCell ref="B2:O2"/>
    <mergeCell ref="B26:O26"/>
    <mergeCell ref="B34:O34"/>
    <mergeCell ref="B40:O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7.75" hidden="false" customHeight="true" outlineLevel="0" collapsed="false">
      <c r="B1" s="1" t="s">
        <v>79</v>
      </c>
      <c r="C1" s="1"/>
    </row>
    <row r="2" customFormat="false" ht="18" hidden="false" customHeight="true" outlineLevel="0" collapsed="false">
      <c r="B2" s="2" t="s">
        <v>80</v>
      </c>
      <c r="C2" s="2"/>
    </row>
    <row r="4" customFormat="false" ht="15" hidden="false" customHeight="false" outlineLevel="0" collapsed="false">
      <c r="B4" s="9" t="s">
        <v>42</v>
      </c>
      <c r="C4" s="15" t="s">
        <v>81</v>
      </c>
    </row>
    <row r="5" customFormat="false" ht="15" hidden="false" customHeight="false" outlineLevel="0" collapsed="false">
      <c r="B5" s="9" t="s">
        <v>82</v>
      </c>
      <c r="C5" s="15" t="s">
        <v>83</v>
      </c>
    </row>
    <row r="6" customFormat="false" ht="15" hidden="false" customHeight="false" outlineLevel="0" collapsed="false">
      <c r="B6" s="9" t="s">
        <v>84</v>
      </c>
      <c r="C6" s="15" t="s">
        <v>85</v>
      </c>
    </row>
    <row r="7" customFormat="false" ht="15" hidden="false" customHeight="false" outlineLevel="0" collapsed="false">
      <c r="B7" s="9" t="s">
        <v>32</v>
      </c>
      <c r="C7" s="15" t="s">
        <v>86</v>
      </c>
    </row>
    <row r="8" customFormat="false" ht="15" hidden="false" customHeight="false" outlineLevel="0" collapsed="false">
      <c r="B8" s="9" t="s">
        <v>87</v>
      </c>
      <c r="C8" s="15" t="s">
        <v>88</v>
      </c>
    </row>
    <row r="9" customFormat="false" ht="15" hidden="false" customHeight="false" outlineLevel="0" collapsed="false">
      <c r="B9" s="9" t="s">
        <v>52</v>
      </c>
      <c r="C9" s="15" t="s">
        <v>89</v>
      </c>
    </row>
    <row r="10" customFormat="false" ht="15" hidden="false" customHeight="false" outlineLevel="0" collapsed="false">
      <c r="B10" s="9" t="s">
        <v>90</v>
      </c>
      <c r="C10" s="15" t="s">
        <v>91</v>
      </c>
    </row>
    <row r="11" customFormat="false" ht="15" hidden="false" customHeight="false" outlineLevel="0" collapsed="false">
      <c r="B11" s="9" t="s">
        <v>92</v>
      </c>
      <c r="C11" s="15" t="s">
        <v>93</v>
      </c>
    </row>
    <row r="14" customFormat="false" ht="15" hidden="false" customHeight="false" outlineLevel="0" collapsed="false">
      <c r="A14" s="14" t="s">
        <v>78</v>
      </c>
      <c r="B14" s="8"/>
      <c r="C14" s="8"/>
    </row>
  </sheetData>
  <mergeCells count="3">
    <mergeCell ref="B1:C1"/>
    <mergeCell ref="B2:C2"/>
    <mergeCell ref="B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2026-04-22T01:14:16Z</dcterms:created>
  <dc:creator>openpyxl</dc:creator>
  <dc:description/>
  <dc:language>en-US</dc:language>
  <cp:lastModifiedBy/>
  <dcterms:modified xsi:type="dcterms:W3CDTF">2026-04-22T01:14:16Z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