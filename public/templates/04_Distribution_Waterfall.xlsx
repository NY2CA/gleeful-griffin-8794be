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fa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<sst xmlns="http://schemas.openxmlformats.org/spreadsheetml/2006/main" count="35" uniqueCount="35">
  <si>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Distribution Waterfall</t>
  </si>
  <si>
    <t xml:space="preserve">80/20 LP/GP with 8% preferred return, 5-year hold</t>
  </si>
  <si>
    <t xml:space="preserve">ASSUMPTIONS</t>
  </si>
  <si>
    <t xml:space="preserve">Total Equity Raised</t>
  </si>
  <si>
    <t xml:space="preserve">LP Equity</t>
  </si>
  <si>
    <t xml:space="preserve">GP Co-Invest</t>
  </si>
  <si>
    <t xml:space="preserve">Preferred Return</t>
  </si>
  <si>
    <t xml:space="preserve">LP / GP Promote (post-pref)</t>
  </si>
  <si>
    <t xml:space="preserve">Hold Years</t>
  </si>
  <si>
    <t xml:space="preserve">DISTRIBUTIONS BY YEAR</t>
  </si>
  <si>
    <t xml:space="preserve">Year</t>
  </si>
  <si>
    <t xml:space="preserve">Total Property Cash Flow</t>
  </si>
  <si>
    <t xml:space="preserve">TIER 1: RETURN OF CAPITAL</t>
  </si>
  <si>
    <t xml:space="preserve">LP Capital Remaining (BoP)</t>
  </si>
  <si>
    <t xml:space="preserve">LP Capital Remaining (EoP)</t>
  </si>
  <si>
    <t xml:space="preserve">Tier 1: LP ROC Distribution</t>
  </si>
  <si>
    <t xml:space="preserve">CF After Tier 1</t>
  </si>
  <si>
    <t xml:space="preserve">TIER 2: PREFERRED RETURN (LP 8%)</t>
  </si>
  <si>
    <t xml:space="preserve">Pref Accrued This Year</t>
  </si>
  <si>
    <t xml:space="preserve">Tier 2: Pref Paid</t>
  </si>
  <si>
    <t xml:space="preserve">CF After Tier 2</t>
  </si>
  <si>
    <t xml:space="preserve">TIER 3: PROMOTE (80% LP / 20% GP)</t>
  </si>
  <si>
    <t xml:space="preserve">LP Promote Share</t>
  </si>
  <si>
    <t xml:space="preserve">GP Promote Share</t>
  </si>
  <si>
    <t xml:space="preserve">TOTAL LP / GP DISTRIBUTIONS</t>
  </si>
  <si>
    <t xml:space="preserve">Total LP Distribution</t>
  </si>
  <si>
    <t xml:space="preserve">Total GP Distribution</t>
  </si>
  <si>
    <t xml:space="preserve">LP Cash Flow (net)</t>
  </si>
  <si>
    <t xml:space="preserve">GP Cash Flow (net)</t>
  </si>
  <si>
    <t xml:space="preserve">METRICS</t>
  </si>
  <si>
    <t xml:space="preserve">LP IRR</t>
  </si>
  <si>
    <t xml:space="preserve">GP IRR</t>
  </si>
  <si>
    <t xml:space="preserve">LP Equity Multiple</t>
  </si>
  <si>
    <t xml:space="preserve">GP Equity Multiple</t>
  </si>
  <si>
    <t xml:space="preserve">Private &amp; Confidential · Rescia Properties, LLC · ©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</si>
</sst>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D3A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2"/>
      <color rgb="FF0B1D3A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B1D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9A24B"/>
        <bgColor rgb="FFFF9900"/>
      </patternFill>
    </fill>
    <fill>
      <patternFill patternType="solid">
        <fgColor rgb="FFFFF9C4"/>
        <bgColor rgb="FFFFFF99"/>
      </patternFill>
    </fill>
    <fill>
      <patternFill patternType="solid">
        <fgColor rgb="FFF2F5FA"/>
        <bgColor rgb="FFFFFFFF"/>
      </patternFill>
    </fill>
    <fill>
      <patternFill patternType="solid">
        <fgColor rgb="FF0B1D3A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C9A24B"/>
      <rgbColor rgb="FF0B1D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9" min="9" style="0" width="18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4" t="s">
        <v>3</v>
      </c>
      <c r="C5" s="5" t="n">
        <v>10500000</v>
      </c>
    </row>
    <row r="6" customFormat="false" ht="15" hidden="false" customHeight="false" outlineLevel="0" collapsed="false">
      <c r="B6" s="4" t="s">
        <v>4</v>
      </c>
      <c r="C6" s="5" t="n">
        <v>10000000</v>
      </c>
    </row>
    <row r="7" customFormat="false" ht="15" hidden="false" customHeight="false" outlineLevel="0" collapsed="false">
      <c r="B7" s="4" t="s">
        <v>5</v>
      </c>
      <c r="C7" s="5" t="n">
        <v>500000</v>
      </c>
    </row>
    <row r="8" customFormat="false" ht="15" hidden="false" customHeight="false" outlineLevel="0" collapsed="false">
      <c r="B8" s="4" t="s">
        <v>6</v>
      </c>
      <c r="C8" s="6" t="n">
        <v>0.08</v>
      </c>
    </row>
    <row r="9" customFormat="false" ht="15" hidden="false" customHeight="false" outlineLevel="0" collapsed="false">
      <c r="B9" s="4" t="s">
        <v>7</v>
      </c>
      <c r="C9" s="6" t="n">
        <v>0.8</v>
      </c>
    </row>
    <row r="10" customFormat="false" ht="15" hidden="false" customHeight="false" outlineLevel="0" collapsed="false">
      <c r="B10" s="4" t="s">
        <v>8</v>
      </c>
      <c r="C10" s="7" t="n">
        <v>5</v>
      </c>
    </row>
    <row r="12" customFormat="false" ht="21.75" hidden="false" customHeight="true" outlineLevel="0" collapsed="false">
      <c r="B12" s="3" t="s">
        <v>9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8" t="s">
        <v>10</v>
      </c>
      <c r="C13" s="9" t="n">
        <v>0</v>
      </c>
      <c r="D13" s="9" t="n">
        <v>1</v>
      </c>
      <c r="E13" s="9" t="n">
        <v>2</v>
      </c>
      <c r="F13" s="9" t="n">
        <v>3</v>
      </c>
      <c r="G13" s="9" t="n">
        <v>4</v>
      </c>
      <c r="H13" s="9" t="n">
        <v>5</v>
      </c>
    </row>
    <row r="14" customFormat="false" ht="15" hidden="false" customHeight="false" outlineLevel="0" collapsed="false">
      <c r="B14" s="4" t="s">
        <v>11</v>
      </c>
      <c r="C14" s="5" t="n">
        <v>-10500000</v>
      </c>
      <c r="D14" s="5" t="n">
        <v>600000</v>
      </c>
      <c r="E14" s="5" t="n">
        <v>650000</v>
      </c>
      <c r="F14" s="5" t="n">
        <v>720000</v>
      </c>
      <c r="G14" s="5" t="n">
        <v>800000</v>
      </c>
      <c r="H14" s="5" t="n">
        <v>15500000</v>
      </c>
    </row>
    <row r="16" customFormat="false" ht="21.75" hidden="false" customHeight="true" outlineLevel="0" collapsed="false">
      <c r="B16" s="3" t="s">
        <v>12</v>
      </c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B17" s="10" t="s">
        <v>13</v>
      </c>
      <c r="C17" s="11" t="n">
        <f aca="false">C6</f>
        <v>10000000</v>
      </c>
      <c r="D17" s="11" t="n">
        <f aca="false">MAX(0,C18)</f>
        <v>10000000</v>
      </c>
      <c r="E17" s="11" t="n">
        <f aca="false">MAX(0,D18)</f>
        <v>9400000</v>
      </c>
      <c r="F17" s="11" t="n">
        <f aca="false">MAX(0,E18)</f>
        <v>8750000</v>
      </c>
      <c r="G17" s="11" t="n">
        <f aca="false">MAX(0,F18)</f>
        <v>8030000</v>
      </c>
      <c r="H17" s="11" t="n">
        <f aca="false">MAX(0,G18)</f>
        <v>7230000</v>
      </c>
    </row>
    <row r="18" customFormat="false" ht="15" hidden="false" customHeight="false" outlineLevel="0" collapsed="false">
      <c r="B18" s="10" t="s">
        <v>14</v>
      </c>
      <c r="C18" s="11" t="n">
        <f aca="false">MAX(0,C17-C19)</f>
        <v>10000000</v>
      </c>
      <c r="D18" s="11" t="n">
        <f aca="false">MAX(0,D17-D19)</f>
        <v>9400000</v>
      </c>
      <c r="E18" s="11" t="n">
        <f aca="false">MAX(0,E17-E19)</f>
        <v>8750000</v>
      </c>
      <c r="F18" s="11" t="n">
        <f aca="false">MAX(0,F17-F19)</f>
        <v>8030000</v>
      </c>
      <c r="G18" s="11" t="n">
        <f aca="false">MAX(0,G17-G19)</f>
        <v>7230000</v>
      </c>
      <c r="H18" s="11" t="n">
        <f aca="false">MAX(0,H17-H19)</f>
        <v>0</v>
      </c>
    </row>
    <row r="19" customFormat="false" ht="15" hidden="false" customHeight="false" outlineLevel="0" collapsed="false">
      <c r="B19" s="4" t="s">
        <v>15</v>
      </c>
      <c r="C19" s="11" t="n">
        <v>0</v>
      </c>
      <c r="D19" s="11" t="n">
        <f aca="false">MIN(MAX(D14,0),D17)</f>
        <v>600000</v>
      </c>
      <c r="E19" s="11" t="n">
        <f aca="false">MIN(MAX(E14,0),E17)</f>
        <v>650000</v>
      </c>
      <c r="F19" s="11" t="n">
        <f aca="false">MIN(MAX(F14,0),F17)</f>
        <v>720000</v>
      </c>
      <c r="G19" s="11" t="n">
        <f aca="false">MIN(MAX(G14,0),G17)</f>
        <v>800000</v>
      </c>
      <c r="H19" s="11" t="n">
        <f aca="false">MIN(MAX(H14,0),H17)</f>
        <v>7230000</v>
      </c>
    </row>
    <row r="20" customFormat="false" ht="15" hidden="false" customHeight="false" outlineLevel="0" collapsed="false">
      <c r="B20" s="10" t="s">
        <v>16</v>
      </c>
      <c r="C20" s="11" t="n">
        <f aca="false">MAX(0,C14)-C19</f>
        <v>0</v>
      </c>
      <c r="D20" s="11" t="n">
        <f aca="false">MAX(0,D14)-D19</f>
        <v>0</v>
      </c>
      <c r="E20" s="11" t="n">
        <f aca="false">MAX(0,E14)-E19</f>
        <v>0</v>
      </c>
      <c r="F20" s="11" t="n">
        <f aca="false">MAX(0,F14)-F19</f>
        <v>0</v>
      </c>
      <c r="G20" s="11" t="n">
        <f aca="false">MAX(0,G14)-G19</f>
        <v>0</v>
      </c>
      <c r="H20" s="11" t="n">
        <f aca="false">MAX(0,H14)-H19</f>
        <v>8270000</v>
      </c>
    </row>
    <row r="22" customFormat="false" ht="21.75" hidden="false" customHeight="true" outlineLevel="0" collapsed="false">
      <c r="B22" s="3" t="s">
        <v>17</v>
      </c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B23" s="10" t="s">
        <v>18</v>
      </c>
      <c r="C23" s="11" t="n">
        <v>0</v>
      </c>
      <c r="D23" s="11" t="n">
        <f aca="false">D17*C8</f>
        <v>800000</v>
      </c>
      <c r="E23" s="11" t="n">
        <f aca="false">E17*C8</f>
        <v>752000</v>
      </c>
      <c r="F23" s="11" t="n">
        <f aca="false">F17*C8</f>
        <v>700000</v>
      </c>
      <c r="G23" s="11" t="n">
        <f aca="false">G17*C8</f>
        <v>642400</v>
      </c>
      <c r="H23" s="11" t="n">
        <f aca="false">H17*C8</f>
        <v>578400</v>
      </c>
    </row>
    <row r="24" customFormat="false" ht="15" hidden="false" customHeight="false" outlineLevel="0" collapsed="false">
      <c r="B24" s="4" t="s">
        <v>19</v>
      </c>
      <c r="C24" s="11" t="n">
        <f aca="false">MIN(C20,C23)</f>
        <v>0</v>
      </c>
      <c r="D24" s="11" t="n">
        <f aca="false">MIN(D20,D23)</f>
        <v>0</v>
      </c>
      <c r="E24" s="11" t="n">
        <f aca="false">MIN(E20,E23)</f>
        <v>0</v>
      </c>
      <c r="F24" s="11" t="n">
        <f aca="false">MIN(F20,F23)</f>
        <v>0</v>
      </c>
      <c r="G24" s="11" t="n">
        <f aca="false">MIN(G20,G23)</f>
        <v>0</v>
      </c>
      <c r="H24" s="11" t="n">
        <f aca="false">MIN(H20,H23)</f>
        <v>578400</v>
      </c>
    </row>
    <row r="25" customFormat="false" ht="15" hidden="false" customHeight="false" outlineLevel="0" collapsed="false">
      <c r="B25" s="10" t="s">
        <v>20</v>
      </c>
      <c r="C25" s="11" t="n">
        <f aca="false">C20-C24</f>
        <v>0</v>
      </c>
      <c r="D25" s="11" t="n">
        <f aca="false">D20-D24</f>
        <v>0</v>
      </c>
      <c r="E25" s="11" t="n">
        <f aca="false">E20-E24</f>
        <v>0</v>
      </c>
      <c r="F25" s="11" t="n">
        <f aca="false">F20-F24</f>
        <v>0</v>
      </c>
      <c r="G25" s="11" t="n">
        <f aca="false">G20-G24</f>
        <v>0</v>
      </c>
      <c r="H25" s="11" t="n">
        <f aca="false">H20-H24</f>
        <v>7691600</v>
      </c>
    </row>
    <row r="27" customFormat="false" ht="21.75" hidden="false" customHeight="true" outlineLevel="0" collapsed="false">
      <c r="B27" s="3" t="s">
        <v>21</v>
      </c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B28" s="10" t="s">
        <v>22</v>
      </c>
      <c r="C28" s="11" t="n">
        <f aca="false">C25*C9</f>
        <v>0</v>
      </c>
      <c r="D28" s="11" t="n">
        <f aca="false">D25*C9</f>
        <v>0</v>
      </c>
      <c r="E28" s="11" t="n">
        <f aca="false">E25*C9</f>
        <v>0</v>
      </c>
      <c r="F28" s="11" t="n">
        <f aca="false">F25*C9</f>
        <v>0</v>
      </c>
      <c r="G28" s="11" t="n">
        <f aca="false">G25*C9</f>
        <v>0</v>
      </c>
      <c r="H28" s="11" t="n">
        <f aca="false">H25*C9</f>
        <v>6153280</v>
      </c>
    </row>
    <row r="29" customFormat="false" ht="15" hidden="false" customHeight="false" outlineLevel="0" collapsed="false">
      <c r="B29" s="10" t="s">
        <v>23</v>
      </c>
      <c r="C29" s="11" t="n">
        <f aca="false">C25*(1-C9)</f>
        <v>0</v>
      </c>
      <c r="D29" s="11" t="n">
        <f aca="false">D25*(1-C9)</f>
        <v>0</v>
      </c>
      <c r="E29" s="11" t="n">
        <f aca="false">E25*(1-C9)</f>
        <v>0</v>
      </c>
      <c r="F29" s="11" t="n">
        <f aca="false">F25*(1-C9)</f>
        <v>0</v>
      </c>
      <c r="G29" s="11" t="n">
        <f aca="false">G25*(1-C9)</f>
        <v>0</v>
      </c>
      <c r="H29" s="11" t="n">
        <f aca="false">H25*(1-C9)</f>
        <v>1538320</v>
      </c>
    </row>
    <row r="31" customFormat="false" ht="21.75" hidden="false" customHeight="true" outlineLevel="0" collapsed="false">
      <c r="B31" s="3" t="s">
        <v>24</v>
      </c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B32" s="4" t="s">
        <v>25</v>
      </c>
      <c r="C32" s="12" t="n">
        <f aca="false">C19+C24+C28</f>
        <v>0</v>
      </c>
      <c r="D32" s="12" t="n">
        <f aca="false">D19+D24+D28</f>
        <v>600000</v>
      </c>
      <c r="E32" s="12" t="n">
        <f aca="false">E19+E24+E28</f>
        <v>650000</v>
      </c>
      <c r="F32" s="12" t="n">
        <f aca="false">F19+F24+F28</f>
        <v>720000</v>
      </c>
      <c r="G32" s="12" t="n">
        <f aca="false">G19+G24+G28</f>
        <v>800000</v>
      </c>
      <c r="H32" s="12" t="n">
        <f aca="false">H19+H24+H28</f>
        <v>13961680</v>
      </c>
    </row>
    <row r="33" customFormat="false" ht="15" hidden="false" customHeight="false" outlineLevel="0" collapsed="false">
      <c r="B33" s="4" t="s">
        <v>26</v>
      </c>
      <c r="C33" s="12" t="n">
        <f aca="false">C29</f>
        <v>0</v>
      </c>
      <c r="D33" s="12" t="n">
        <f aca="false">D29</f>
        <v>0</v>
      </c>
      <c r="E33" s="12" t="n">
        <f aca="false">E29</f>
        <v>0</v>
      </c>
      <c r="F33" s="12" t="n">
        <f aca="false">F29</f>
        <v>0</v>
      </c>
      <c r="G33" s="12" t="n">
        <f aca="false">G29</f>
        <v>0</v>
      </c>
      <c r="H33" s="12" t="n">
        <f aca="false">H29</f>
        <v>1538320</v>
      </c>
    </row>
    <row r="34" customFormat="false" ht="15" hidden="false" customHeight="false" outlineLevel="0" collapsed="false">
      <c r="B34" s="13" t="s">
        <v>27</v>
      </c>
      <c r="C34" s="11" t="n">
        <f aca="false">-C6</f>
        <v>-10000000</v>
      </c>
      <c r="D34" s="11" t="n">
        <f aca="false">D32</f>
        <v>600000</v>
      </c>
      <c r="E34" s="11" t="n">
        <f aca="false">E32</f>
        <v>650000</v>
      </c>
      <c r="F34" s="11" t="n">
        <f aca="false">F32</f>
        <v>720000</v>
      </c>
      <c r="G34" s="11" t="n">
        <f aca="false">G32</f>
        <v>800000</v>
      </c>
      <c r="H34" s="11" t="n">
        <f aca="false">H32</f>
        <v>13961680</v>
      </c>
    </row>
    <row r="35" customFormat="false" ht="15" hidden="false" customHeight="false" outlineLevel="0" collapsed="false">
      <c r="B35" s="13" t="s">
        <v>28</v>
      </c>
      <c r="C35" s="11" t="n">
        <f aca="false">-C7</f>
        <v>-500000</v>
      </c>
      <c r="D35" s="11" t="n">
        <f aca="false">D33</f>
        <v>0</v>
      </c>
      <c r="E35" s="11" t="n">
        <f aca="false">E33</f>
        <v>0</v>
      </c>
      <c r="F35" s="11" t="n">
        <f aca="false">F33</f>
        <v>0</v>
      </c>
      <c r="G35" s="11" t="n">
        <f aca="false">G33</f>
        <v>0</v>
      </c>
      <c r="H35" s="11" t="n">
        <f aca="false">H33</f>
        <v>1538320</v>
      </c>
    </row>
    <row r="37" customFormat="false" ht="21.75" hidden="false" customHeight="true" outlineLevel="0" collapsed="false">
      <c r="B37" s="3" t="s">
        <v>29</v>
      </c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B38" s="4" t="s">
        <v>30</v>
      </c>
      <c r="C38" s="14" t="n">
        <f aca="false">IFERROR(IRR(C34:H34),0)</f>
        <v>0.119925406530797</v>
      </c>
    </row>
    <row r="39" customFormat="false" ht="15" hidden="false" customHeight="false" outlineLevel="0" collapsed="false">
      <c r="B39" s="4" t="s">
        <v>31</v>
      </c>
      <c r="C39" s="14" t="n">
        <f aca="false">IFERROR(IRR(C35:H35),0)</f>
        <v>0.252031733351415</v>
      </c>
    </row>
    <row r="40" customFormat="false" ht="15" hidden="false" customHeight="false" outlineLevel="0" collapsed="false">
      <c r="B40" s="4" t="s">
        <v>32</v>
      </c>
      <c r="C40" s="15" t="n">
        <f aca="false">IFERROR(SUM(D32:H32)/C6,0)</f>
        <v>1.673168</v>
      </c>
    </row>
    <row r="41" customFormat="false" ht="15" hidden="false" customHeight="false" outlineLevel="0" collapsed="false">
      <c r="B41" s="4" t="s">
        <v>33</v>
      </c>
      <c r="C41" s="15" t="n">
        <f aca="false">IFERROR(SUM(D33:H33)/C7,0)</f>
        <v>3.07664</v>
      </c>
    </row>
    <row r="44" customFormat="false" ht="15" hidden="false" customHeight="false" outlineLevel="0" collapsed="false">
      <c r="B44" s="16" t="s">
        <v>34</v>
      </c>
      <c r="C44" s="16"/>
      <c r="D44" s="16"/>
      <c r="E44" s="16"/>
      <c r="F44" s="16"/>
      <c r="G44" s="16"/>
      <c r="H44" s="16"/>
      <c r="I44" s="16"/>
    </row>
  </sheetData>
  <mergeCells count="10">
    <mergeCell ref="B1:I1"/>
    <mergeCell ref="B2:I2"/>
    <mergeCell ref="B4:I4"/>
    <mergeCell ref="B12:I12"/>
    <mergeCell ref="B16:I16"/>
    <mergeCell ref="B22:I22"/>
    <mergeCell ref="B27:I27"/>
    <mergeCell ref="B31:I31"/>
    <mergeCell ref="B37:I37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2026-04-22T01:18:23Z</dcterms:created>
  <dc:creator>openpyxl</dc:creator>
  <dc:description/>
  <dc:language>en-US</dc:language>
  <cp:lastModifiedBy/>
  <dcterms:modified xsi:type="dcterms:W3CDTF">2026-04-22T01:18:23Z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