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udget vs Actu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<sst xmlns="http://schemas.openxmlformats.org/spreadsheetml/2006/main" count="54" uniqueCount="53">
  <si>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t xml:space="preserve">Quarterly LP Report</t>
  </si>
  <si>
    <t xml:space="preserve">[Property Name] · [Quarter YYYY]</t>
  </si>
  <si>
    <t xml:space="preserve">KEY METRICS THIS QUARTER</t>
  </si>
  <si>
    <t xml:space="preserve">Metric</t>
  </si>
  <si>
    <t xml:space="preserve">Quarter</t>
  </si>
  <si>
    <t xml:space="preserve">YTD</t>
  </si>
  <si>
    <t xml:space="preserve">Since Acquisition</t>
  </si>
  <si>
    <t xml:space="preserve">Budget</t>
  </si>
  <si>
    <t xml:space="preserve">Occupancy</t>
  </si>
  <si>
    <t xml:space="preserve">Economic Occupancy</t>
  </si>
  <si>
    <t xml:space="preserve">Avg Rent / Unit</t>
  </si>
  <si>
    <t xml:space="preserve">Effective Gross Income ($)</t>
  </si>
  <si>
    <t xml:space="preserve">Operating Expenses ($)</t>
  </si>
  <si>
    <t xml:space="preserve">NOI ($)</t>
  </si>
  <si>
    <t xml:space="preserve">Debt Service ($)</t>
  </si>
  <si>
    <t xml:space="preserve">Cash Flow to Equity ($)</t>
  </si>
  <si>
    <t xml:space="preserve">DISTRIBUTION TO LPs</t>
  </si>
  <si>
    <t xml:space="preserve">Current Quarter Distribution</t>
  </si>
  <si>
    <t xml:space="preserve">YTD Distributions</t>
  </si>
  <si>
    <t xml:space="preserve">Since Acquisition Distributions</t>
  </si>
  <si>
    <t xml:space="preserve">Current CoC (annualized)</t>
  </si>
  <si>
    <t xml:space="preserve">OPERATIONAL HIGHLIGHTS</t>
  </si>
  <si>
    <t xml:space="preserve">• Completed renovation on 15 units this quarter; achieving $147 rent premium.
• Occupancy held above 93% through seasonal softness.
• Replaced underperforming landscape vendor; saved $1,400/mo.
• Currently in underwriting for refinance in Q3 2027.
• No material incidents or litigation.</t>
  </si>
  <si>
    <t xml:space="preserve">Private &amp; Confidential · Rescia Properties, LLC · © 2026 · For single-user program use only</t>
  </si>
  <si>
    <t xml:space="preserve">Budget vs. Actual</t>
  </si>
  <si>
    <t xml:space="preserve">Quarterly detail</t>
  </si>
  <si>
    <t xml:space="preserve">Line Item</t>
  </si>
  <si>
    <t xml:space="preserve">Q Actual</t>
  </si>
  <si>
    <t xml:space="preserve">Q Budget</t>
  </si>
  <si>
    <t xml:space="preserve">Variance</t>
  </si>
  <si>
    <t xml:space="preserve">Var %</t>
  </si>
  <si>
    <t xml:space="preserve">YTD Actual</t>
  </si>
  <si>
    <t xml:space="preserve">YTD Budget</t>
  </si>
  <si>
    <t xml:space="preserve">REVENUE</t>
  </si>
  <si>
    <t xml:space="preserve">Gross Rent</t>
  </si>
  <si>
    <t xml:space="preserve">Loss to Lease</t>
  </si>
  <si>
    <t xml:space="preserve">Vacancy Loss</t>
  </si>
  <si>
    <t xml:space="preserve">Concessions</t>
  </si>
  <si>
    <t xml:space="preserve">Bad Debt</t>
  </si>
  <si>
    <t xml:space="preserve">Other Income</t>
  </si>
  <si>
    <t xml:space="preserve">EGI</t>
  </si>
  <si>
    <t xml:space="preserve">OPERATING EXPENSES</t>
  </si>
  <si>
    <t xml:space="preserve">Payroll</t>
  </si>
  <si>
    <t xml:space="preserve">R&amp;M</t>
  </si>
  <si>
    <t xml:space="preserve">Utilities</t>
  </si>
  <si>
    <t xml:space="preserve">Insurance</t>
  </si>
  <si>
    <t xml:space="preserve">Property Taxes</t>
  </si>
  <si>
    <t xml:space="preserve">Management Fee</t>
  </si>
  <si>
    <t xml:space="preserve">Marketing</t>
  </si>
  <si>
    <t xml:space="preserve">Admin</t>
  </si>
  <si>
    <t xml:space="preserve">Contract Services</t>
  </si>
  <si>
    <t xml:space="preserve">Total OpEx</t>
  </si>
  <si>
    <t xml:space="preserve">NOI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</si>
</sst>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;\(0.0%\);\-"/>
    <numFmt numFmtId="166" formatCode="\$#,##0;&quot;($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D3A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2"/>
      <color rgb="FF0B1D3A"/>
      <name val="Arial"/>
      <family val="0"/>
      <charset val="1"/>
    </font>
    <font>
      <b val="true"/>
      <sz val="11"/>
      <color rgb="FF0B1D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B1D3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9A24B"/>
        <bgColor rgb="FFFF9900"/>
      </patternFill>
    </fill>
    <fill>
      <patternFill patternType="solid">
        <fgColor rgb="FFF2F5FA"/>
        <bgColor rgb="FFFFFFFF"/>
      </patternFill>
    </fill>
    <fill>
      <patternFill patternType="solid">
        <fgColor rgb="FF0B1D3A"/>
        <bgColor rgb="FF00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0BE"/>
      </left>
      <right style="thin">
        <color rgb="FFD8D0BE"/>
      </right>
      <top style="thin">
        <color rgb="FFD8D0BE"/>
      </top>
      <bottom style="thin">
        <color rgb="FFD8D0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0BE"/>
      <rgbColor rgb="FF808080"/>
      <rgbColor rgb="FF9999FF"/>
      <rgbColor rgb="FF993366"/>
      <rgbColor rgb="FFFFF9C4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C9A24B"/>
      <rgbColor rgb="FF0B1D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8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B5" s="5" t="s">
        <v>3</v>
      </c>
      <c r="C5" s="6" t="s">
        <v>4</v>
      </c>
      <c r="D5" s="6" t="s">
        <v>5</v>
      </c>
      <c r="E5" s="6" t="s">
        <v>6</v>
      </c>
      <c r="F5" s="6" t="s">
        <v>7</v>
      </c>
    </row>
    <row r="6" customFormat="false" ht="15" hidden="false" customHeight="false" outlineLevel="0" collapsed="false">
      <c r="B6" s="7" t="s">
        <v>8</v>
      </c>
      <c r="C6" s="8" t="n">
        <v>0.94</v>
      </c>
      <c r="D6" s="8" t="n">
        <v>0.93</v>
      </c>
      <c r="E6" s="8" t="n">
        <v>0.92</v>
      </c>
      <c r="F6" s="8" t="n">
        <v>0.95</v>
      </c>
    </row>
    <row r="7" customFormat="false" ht="15" hidden="false" customHeight="false" outlineLevel="0" collapsed="false">
      <c r="B7" s="7" t="s">
        <v>9</v>
      </c>
      <c r="C7" s="8" t="n">
        <v>0.91</v>
      </c>
      <c r="D7" s="8" t="n">
        <v>0.9</v>
      </c>
      <c r="E7" s="8" t="n">
        <v>0.89</v>
      </c>
      <c r="F7" s="8" t="n">
        <v>0.93</v>
      </c>
    </row>
    <row r="8" customFormat="false" ht="15" hidden="false" customHeight="false" outlineLevel="0" collapsed="false">
      <c r="B8" s="7" t="s">
        <v>10</v>
      </c>
      <c r="C8" s="9" t="n">
        <v>1485</v>
      </c>
      <c r="D8" s="9" t="n">
        <v>1475</v>
      </c>
      <c r="E8" s="9" t="n">
        <v>1450</v>
      </c>
      <c r="F8" s="9" t="n">
        <v>1500</v>
      </c>
    </row>
    <row r="9" customFormat="false" ht="15" hidden="false" customHeight="false" outlineLevel="0" collapsed="false">
      <c r="B9" s="7" t="s">
        <v>11</v>
      </c>
      <c r="C9" s="9" t="n">
        <v>835000</v>
      </c>
      <c r="D9" s="9" t="n">
        <v>1650000</v>
      </c>
      <c r="E9" s="9" t="n">
        <v>6200000</v>
      </c>
      <c r="F9" s="9" t="n">
        <v>850000</v>
      </c>
    </row>
    <row r="10" customFormat="false" ht="15" hidden="false" customHeight="false" outlineLevel="0" collapsed="false">
      <c r="B10" s="7" t="s">
        <v>12</v>
      </c>
      <c r="C10" s="9" t="n">
        <v>350000</v>
      </c>
      <c r="D10" s="9" t="n">
        <v>690000</v>
      </c>
      <c r="E10" s="9" t="n">
        <v>2600000</v>
      </c>
      <c r="F10" s="9" t="n">
        <v>340000</v>
      </c>
    </row>
    <row r="11" customFormat="false" ht="15" hidden="false" customHeight="false" outlineLevel="0" collapsed="false">
      <c r="B11" s="7" t="s">
        <v>13</v>
      </c>
      <c r="C11" s="9" t="n">
        <v>485000</v>
      </c>
      <c r="D11" s="9" t="n">
        <v>960000</v>
      </c>
      <c r="E11" s="9" t="n">
        <v>3600000</v>
      </c>
      <c r="F11" s="9" t="n">
        <v>510000</v>
      </c>
    </row>
    <row r="12" customFormat="false" ht="15" hidden="false" customHeight="false" outlineLevel="0" collapsed="false">
      <c r="B12" s="7" t="s">
        <v>14</v>
      </c>
      <c r="C12" s="9" t="n">
        <v>280000</v>
      </c>
      <c r="D12" s="9" t="n">
        <v>560000</v>
      </c>
      <c r="E12" s="9" t="n">
        <v>1400000</v>
      </c>
      <c r="F12" s="9" t="n">
        <v>280000</v>
      </c>
    </row>
    <row r="13" customFormat="false" ht="15" hidden="false" customHeight="false" outlineLevel="0" collapsed="false">
      <c r="B13" s="7" t="s">
        <v>15</v>
      </c>
      <c r="C13" s="9" t="n">
        <v>205000</v>
      </c>
      <c r="D13" s="9" t="n">
        <v>400000</v>
      </c>
      <c r="E13" s="9" t="n">
        <v>2200000</v>
      </c>
      <c r="F13" s="9" t="n">
        <v>230000</v>
      </c>
    </row>
    <row r="15" customFormat="false" ht="21.75" hidden="false" customHeight="true" outlineLevel="0" collapsed="false">
      <c r="A15" s="3" t="s">
        <v>16</v>
      </c>
      <c r="B15" s="4"/>
      <c r="C15" s="4"/>
      <c r="D15" s="4"/>
      <c r="E15" s="4"/>
      <c r="F15" s="4"/>
    </row>
    <row r="16" customFormat="false" ht="15" hidden="false" customHeight="false" outlineLevel="0" collapsed="false">
      <c r="B16" s="7" t="s">
        <v>17</v>
      </c>
      <c r="C16" s="9" t="n">
        <v>180000</v>
      </c>
    </row>
    <row r="17" customFormat="false" ht="15" hidden="false" customHeight="false" outlineLevel="0" collapsed="false">
      <c r="B17" s="7" t="s">
        <v>18</v>
      </c>
      <c r="C17" s="9" t="n">
        <v>360000</v>
      </c>
    </row>
    <row r="18" customFormat="false" ht="15" hidden="false" customHeight="false" outlineLevel="0" collapsed="false">
      <c r="B18" s="7" t="s">
        <v>19</v>
      </c>
      <c r="C18" s="9" t="n">
        <v>1450000</v>
      </c>
    </row>
    <row r="19" customFormat="false" ht="15" hidden="false" customHeight="false" outlineLevel="0" collapsed="false">
      <c r="B19" s="7" t="s">
        <v>20</v>
      </c>
      <c r="C19" s="8" t="n">
        <v>0.072</v>
      </c>
    </row>
    <row r="21" customFormat="false" ht="21.75" hidden="false" customHeight="true" outlineLevel="0" collapsed="false">
      <c r="A21" s="3" t="s">
        <v>21</v>
      </c>
      <c r="B21" s="4"/>
      <c r="C21" s="4"/>
      <c r="D21" s="4"/>
      <c r="E21" s="4"/>
      <c r="F21" s="4"/>
    </row>
    <row r="22" customFormat="false" ht="15" hidden="false" customHeight="true" outlineLevel="0" collapsed="false">
      <c r="B22" s="10" t="s">
        <v>22</v>
      </c>
      <c r="C22" s="10"/>
      <c r="D22" s="10"/>
      <c r="E22" s="10"/>
      <c r="F22" s="10"/>
    </row>
    <row r="23" customFormat="false" ht="15" hidden="false" customHeight="false" outlineLevel="0" collapsed="false">
      <c r="B23" s="10"/>
      <c r="C23" s="10"/>
      <c r="D23" s="10"/>
      <c r="E23" s="10"/>
      <c r="F23" s="10"/>
    </row>
    <row r="24" customFormat="false" ht="15" hidden="false" customHeight="false" outlineLevel="0" collapsed="false">
      <c r="B24" s="10"/>
      <c r="C24" s="10"/>
      <c r="D24" s="10"/>
      <c r="E24" s="10"/>
      <c r="F24" s="10"/>
    </row>
    <row r="25" customFormat="false" ht="15" hidden="false" customHeight="false" outlineLevel="0" collapsed="false">
      <c r="B25" s="10"/>
      <c r="C25" s="10"/>
      <c r="D25" s="10"/>
      <c r="E25" s="10"/>
      <c r="F25" s="10"/>
    </row>
    <row r="26" customFormat="false" ht="15" hidden="false" customHeight="false" outlineLevel="0" collapsed="false">
      <c r="B26" s="10"/>
      <c r="C26" s="10"/>
      <c r="D26" s="10"/>
      <c r="E26" s="10"/>
      <c r="F26" s="10"/>
    </row>
    <row r="28" customFormat="false" ht="15" hidden="false" customHeight="false" outlineLevel="0" collapsed="false">
      <c r="A28" s="11" t="s">
        <v>23</v>
      </c>
      <c r="B28" s="4"/>
      <c r="C28" s="4"/>
      <c r="D28" s="4"/>
      <c r="E28" s="4"/>
      <c r="F28" s="4"/>
    </row>
  </sheetData>
  <mergeCells count="7">
    <mergeCell ref="B1:F1"/>
    <mergeCell ref="B2:F2"/>
    <mergeCell ref="B4:F4"/>
    <mergeCell ref="B15:F15"/>
    <mergeCell ref="B21:F21"/>
    <mergeCell ref="B22:F26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4"/>
  </cols>
  <sheetData>
    <row r="1" customFormat="false" ht="27.75" hidden="false" customHeight="true" outlineLevel="0" collapsed="false">
      <c r="B1" s="1" t="s">
        <v>24</v>
      </c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B2" s="2" t="s">
        <v>25</v>
      </c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12" t="s">
        <v>26</v>
      </c>
      <c r="C4" s="12" t="s">
        <v>27</v>
      </c>
      <c r="D4" s="12" t="s">
        <v>28</v>
      </c>
      <c r="E4" s="12" t="s">
        <v>29</v>
      </c>
      <c r="F4" s="12" t="s">
        <v>30</v>
      </c>
      <c r="G4" s="12" t="s">
        <v>31</v>
      </c>
      <c r="H4" s="12" t="s">
        <v>32</v>
      </c>
    </row>
    <row r="5" customFormat="false" ht="15" hidden="false" customHeight="false" outlineLevel="0" collapsed="false">
      <c r="B5" s="13" t="s">
        <v>33</v>
      </c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B6" s="14" t="s">
        <v>34</v>
      </c>
      <c r="C6" s="9" t="n">
        <v>905000</v>
      </c>
      <c r="D6" s="9" t="n">
        <v>920000</v>
      </c>
      <c r="E6" s="15" t="n">
        <f aca="false">C6-D6</f>
        <v>-15000</v>
      </c>
      <c r="F6" s="16" t="n">
        <f aca="false">IFERROR(E6/ABS(D6),0)</f>
        <v>-0.016304347826087</v>
      </c>
    </row>
    <row r="7" customFormat="false" ht="15" hidden="false" customHeight="false" outlineLevel="0" collapsed="false">
      <c r="B7" s="14" t="s">
        <v>35</v>
      </c>
      <c r="C7" s="9" t="n">
        <v>-27000</v>
      </c>
      <c r="D7" s="9" t="n">
        <v>-30000</v>
      </c>
      <c r="E7" s="15" t="n">
        <f aca="false">C7-D7</f>
        <v>3000</v>
      </c>
      <c r="F7" s="16" t="n">
        <f aca="false">IFERROR(E7/ABS(D7),0)</f>
        <v>0.1</v>
      </c>
    </row>
    <row r="8" customFormat="false" ht="15" hidden="false" customHeight="false" outlineLevel="0" collapsed="false">
      <c r="B8" s="14" t="s">
        <v>36</v>
      </c>
      <c r="C8" s="9" t="n">
        <v>-45000</v>
      </c>
      <c r="D8" s="9" t="n">
        <v>-42000</v>
      </c>
      <c r="E8" s="15" t="n">
        <f aca="false">C8-D8</f>
        <v>-3000</v>
      </c>
      <c r="F8" s="16" t="n">
        <f aca="false">IFERROR(E8/ABS(D8),0)</f>
        <v>-0.0714285714285714</v>
      </c>
    </row>
    <row r="9" customFormat="false" ht="15" hidden="false" customHeight="false" outlineLevel="0" collapsed="false">
      <c r="B9" s="14" t="s">
        <v>37</v>
      </c>
      <c r="C9" s="9" t="n">
        <v>-12000</v>
      </c>
      <c r="D9" s="9" t="n">
        <v>-10000</v>
      </c>
      <c r="E9" s="15" t="n">
        <f aca="false">C9-D9</f>
        <v>-2000</v>
      </c>
      <c r="F9" s="16" t="n">
        <f aca="false">IFERROR(E9/ABS(D9),0)</f>
        <v>-0.2</v>
      </c>
    </row>
    <row r="10" customFormat="false" ht="15" hidden="false" customHeight="false" outlineLevel="0" collapsed="false">
      <c r="B10" s="14" t="s">
        <v>38</v>
      </c>
      <c r="C10" s="9" t="n">
        <v>-9000</v>
      </c>
      <c r="D10" s="9" t="n">
        <v>-8000</v>
      </c>
      <c r="E10" s="15" t="n">
        <f aca="false">C10-D10</f>
        <v>-1000</v>
      </c>
      <c r="F10" s="16" t="n">
        <f aca="false">IFERROR(E10/ABS(D10),0)</f>
        <v>-0.125</v>
      </c>
    </row>
    <row r="11" customFormat="false" ht="15" hidden="false" customHeight="false" outlineLevel="0" collapsed="false">
      <c r="B11" s="14" t="s">
        <v>39</v>
      </c>
      <c r="C11" s="9" t="n">
        <v>28000</v>
      </c>
      <c r="D11" s="9" t="n">
        <v>25000</v>
      </c>
      <c r="E11" s="15" t="n">
        <f aca="false">C11-D11</f>
        <v>3000</v>
      </c>
      <c r="F11" s="16" t="n">
        <f aca="false">IFERROR(E11/ABS(D11),0)</f>
        <v>0.12</v>
      </c>
    </row>
    <row r="12" customFormat="false" ht="15" hidden="false" customHeight="false" outlineLevel="0" collapsed="false">
      <c r="B12" s="14" t="s">
        <v>40</v>
      </c>
      <c r="C12" s="15" t="n">
        <f aca="false">SUM(C6:C11)</f>
        <v>840000</v>
      </c>
      <c r="D12" s="15" t="n">
        <f aca="false">SUM(D6:D11)</f>
        <v>855000</v>
      </c>
      <c r="E12" s="15" t="n">
        <f aca="false">C12-D12</f>
        <v>-15000</v>
      </c>
      <c r="F12" s="16" t="n">
        <f aca="false">IFERROR(E12/ABS(D12),0)</f>
        <v>-0.0175438596491228</v>
      </c>
    </row>
    <row r="13" customFormat="false" ht="15" hidden="false" customHeight="false" outlineLevel="0" collapsed="false">
      <c r="B13" s="13" t="s">
        <v>41</v>
      </c>
      <c r="C13" s="13"/>
      <c r="D13" s="13"/>
      <c r="E13" s="13"/>
      <c r="F13" s="13"/>
      <c r="G13" s="13"/>
      <c r="H13" s="13"/>
    </row>
    <row r="14" customFormat="false" ht="15" hidden="false" customHeight="false" outlineLevel="0" collapsed="false">
      <c r="B14" s="14" t="s">
        <v>42</v>
      </c>
      <c r="C14" s="9" t="n">
        <v>72000</v>
      </c>
      <c r="D14" s="9" t="n">
        <v>70000</v>
      </c>
      <c r="E14" s="15" t="n">
        <f aca="false">C14-D14</f>
        <v>2000</v>
      </c>
      <c r="F14" s="16" t="n">
        <f aca="false">IFERROR(E14/ABS(D14),0)</f>
        <v>0.0285714285714286</v>
      </c>
    </row>
    <row r="15" customFormat="false" ht="15" hidden="false" customHeight="false" outlineLevel="0" collapsed="false">
      <c r="B15" s="14" t="s">
        <v>43</v>
      </c>
      <c r="C15" s="9" t="n">
        <v>33000</v>
      </c>
      <c r="D15" s="9" t="n">
        <v>30000</v>
      </c>
      <c r="E15" s="15" t="n">
        <f aca="false">C15-D15</f>
        <v>3000</v>
      </c>
      <c r="F15" s="16" t="n">
        <f aca="false">IFERROR(E15/ABS(D15),0)</f>
        <v>0.1</v>
      </c>
    </row>
    <row r="16" customFormat="false" ht="15" hidden="false" customHeight="false" outlineLevel="0" collapsed="false">
      <c r="B16" s="14" t="s">
        <v>44</v>
      </c>
      <c r="C16" s="9" t="n">
        <v>22000</v>
      </c>
      <c r="D16" s="9" t="n">
        <v>24000</v>
      </c>
      <c r="E16" s="15" t="n">
        <f aca="false">C16-D16</f>
        <v>-2000</v>
      </c>
      <c r="F16" s="16" t="n">
        <f aca="false">IFERROR(E16/ABS(D16),0)</f>
        <v>-0.0833333333333333</v>
      </c>
    </row>
    <row r="17" customFormat="false" ht="15" hidden="false" customHeight="false" outlineLevel="0" collapsed="false">
      <c r="B17" s="14" t="s">
        <v>45</v>
      </c>
      <c r="C17" s="9" t="n">
        <v>18000</v>
      </c>
      <c r="D17" s="9" t="n">
        <v>17500</v>
      </c>
      <c r="E17" s="15" t="n">
        <f aca="false">C17-D17</f>
        <v>500</v>
      </c>
      <c r="F17" s="16" t="n">
        <f aca="false">IFERROR(E17/ABS(D17),0)</f>
        <v>0.0285714285714286</v>
      </c>
    </row>
    <row r="18" customFormat="false" ht="15" hidden="false" customHeight="false" outlineLevel="0" collapsed="false">
      <c r="B18" s="14" t="s">
        <v>46</v>
      </c>
      <c r="C18" s="9" t="n">
        <v>115000</v>
      </c>
      <c r="D18" s="9" t="n">
        <v>110000</v>
      </c>
      <c r="E18" s="15" t="n">
        <f aca="false">C18-D18</f>
        <v>5000</v>
      </c>
      <c r="F18" s="16" t="n">
        <f aca="false">IFERROR(E18/ABS(D18),0)</f>
        <v>0.0454545454545455</v>
      </c>
    </row>
    <row r="19" customFormat="false" ht="15" hidden="false" customHeight="false" outlineLevel="0" collapsed="false">
      <c r="B19" s="14" t="s">
        <v>47</v>
      </c>
      <c r="C19" s="9" t="n">
        <v>28000</v>
      </c>
      <c r="D19" s="9" t="n">
        <v>28500</v>
      </c>
      <c r="E19" s="15" t="n">
        <f aca="false">C19-D19</f>
        <v>-500</v>
      </c>
      <c r="F19" s="16" t="n">
        <f aca="false">IFERROR(E19/ABS(D19),0)</f>
        <v>-0.0175438596491228</v>
      </c>
    </row>
    <row r="20" customFormat="false" ht="15" hidden="false" customHeight="false" outlineLevel="0" collapsed="false">
      <c r="B20" s="14" t="s">
        <v>48</v>
      </c>
      <c r="C20" s="9" t="n">
        <v>6500</v>
      </c>
      <c r="D20" s="9" t="n">
        <v>6000</v>
      </c>
      <c r="E20" s="15" t="n">
        <f aca="false">C20-D20</f>
        <v>500</v>
      </c>
      <c r="F20" s="16" t="n">
        <f aca="false">IFERROR(E20/ABS(D20),0)</f>
        <v>0.0833333333333333</v>
      </c>
    </row>
    <row r="21" customFormat="false" ht="15" hidden="false" customHeight="false" outlineLevel="0" collapsed="false">
      <c r="B21" s="14" t="s">
        <v>49</v>
      </c>
      <c r="C21" s="9" t="n">
        <v>11000</v>
      </c>
      <c r="D21" s="9" t="n">
        <v>10000</v>
      </c>
      <c r="E21" s="15" t="n">
        <f aca="false">C21-D21</f>
        <v>1000</v>
      </c>
      <c r="F21" s="16" t="n">
        <f aca="false">IFERROR(E21/ABS(D21),0)</f>
        <v>0.1</v>
      </c>
    </row>
    <row r="22" customFormat="false" ht="15" hidden="false" customHeight="false" outlineLevel="0" collapsed="false">
      <c r="B22" s="14" t="s">
        <v>50</v>
      </c>
      <c r="C22" s="9" t="n">
        <v>24000</v>
      </c>
      <c r="D22" s="9" t="n">
        <v>22000</v>
      </c>
      <c r="E22" s="15" t="n">
        <f aca="false">C22-D22</f>
        <v>2000</v>
      </c>
      <c r="F22" s="16" t="n">
        <f aca="false">IFERROR(E22/ABS(D22),0)</f>
        <v>0.0909090909090909</v>
      </c>
    </row>
    <row r="23" customFormat="false" ht="15" hidden="false" customHeight="false" outlineLevel="0" collapsed="false">
      <c r="B23" s="14" t="s">
        <v>51</v>
      </c>
      <c r="C23" s="15" t="n">
        <f aca="false">SUM(C14:C22)</f>
        <v>329500</v>
      </c>
      <c r="D23" s="15" t="n">
        <f aca="false">SUM(D14:D22)</f>
        <v>318000</v>
      </c>
      <c r="E23" s="15" t="n">
        <f aca="false">C23-D23</f>
        <v>11500</v>
      </c>
      <c r="F23" s="16" t="n">
        <f aca="false">IFERROR(E23/ABS(D23),0)</f>
        <v>0.0361635220125786</v>
      </c>
    </row>
    <row r="24" customFormat="false" ht="15" hidden="false" customHeight="false" outlineLevel="0" collapsed="false">
      <c r="B24" s="14" t="s">
        <v>52</v>
      </c>
      <c r="C24" s="17" t="n">
        <f aca="false">C12-C23</f>
        <v>510500</v>
      </c>
      <c r="D24" s="17" t="n">
        <f aca="false">D12-D23</f>
        <v>537000</v>
      </c>
      <c r="E24" s="15" t="n">
        <f aca="false">C24-D24</f>
        <v>-26500</v>
      </c>
      <c r="F24" s="16" t="n">
        <f aca="false">IFERROR(E24/ABS(D24),0)</f>
        <v>-0.0493482309124767</v>
      </c>
    </row>
    <row r="27" customFormat="false" ht="15" hidden="false" customHeight="false" outlineLevel="0" collapsed="false">
      <c r="A27" s="11" t="s">
        <v>23</v>
      </c>
      <c r="B27" s="4"/>
      <c r="C27" s="4"/>
      <c r="D27" s="4"/>
      <c r="E27" s="4"/>
      <c r="F27" s="4"/>
      <c r="G27" s="4"/>
      <c r="H27" s="4"/>
    </row>
  </sheetData>
  <mergeCells count="5">
    <mergeCell ref="B1:H1"/>
    <mergeCell ref="B2:H2"/>
    <mergeCell ref="B5:H5"/>
    <mergeCell ref="B13:H13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2026-04-22T01:14:16Z</dcterms:created>
  <dc:creator>openpyxl</dc:creator>
  <dc:description/>
  <dc:language>en-US</dc:language>
  <cp:lastModifiedBy/>
  <dcterms:modified xsi:type="dcterms:W3CDTF">2026-04-22T01:14:16Z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