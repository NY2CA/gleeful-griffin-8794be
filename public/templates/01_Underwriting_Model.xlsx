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nt Roll" sheetId="3" state="visible" r:id="rId5"/>
    <sheet name="Proforma" sheetId="4" state="visible" r:id="rId6"/>
    <sheet name="Debt &amp; Equity" sheetId="5" state="visible" r:id="rId7"/>
    <sheet name="Returns" sheetId="6" state="visible" r:id="rId8"/>
    <sheet name="Sensitivity" sheetId="7" state="visible" r:id="rId9"/>
    <sheet name="Sources &amp; Us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<sst xmlns="http://schemas.openxmlformats.org/spreadsheetml/2006/main" count="274" uniqueCount="251">
  <si>
    <t xml:space="preserve">MULTIFAMILY UNDERWRITING MODEL</t>
  </si>
  <si>
    <t xml:space="preserve">Rescia Properties · Multifamily Mastery · Institutional Template v1.1</t>
  </si>
  <si>
    <t xml:space="preserve">Deal Name</t>
  </si>
  <si>
    <t xml:space="preserve">[Enter Deal Name]</t>
  </si>
  <si>
    <t xml:space="preserve">Location (City, State)</t>
  </si>
  <si>
    <t xml:space="preserve">[City, ST]</t>
  </si>
  <si>
    <t xml:space="preserve">Analyst</t>
  </si>
  <si>
    <t xml:space="preserve">[Analyst Name]</t>
  </si>
  <si>
    <t xml:space="preserve">Date</t>
  </si>
  <si>
    <t xml:space="preserve">[YYYY-MM-DD]</t>
  </si>
  <si>
    <t xml:space="preserve">MODEL CONVENTIONS</t>
  </si>
  <si>
    <t xml:space="preserve">Blue text</t>
  </si>
  <si>
    <t xml:space="preserve">Hardcoded inputs — edit on Assumptions sheet</t>
  </si>
  <si>
    <t xml:space="preserve">Black text</t>
  </si>
  <si>
    <t xml:space="preserve">Formulas — do not overwrite</t>
  </si>
  <si>
    <t xml:space="preserve">Green text</t>
  </si>
  <si>
    <t xml:space="preserve">Cross-sheet links</t>
  </si>
  <si>
    <t xml:space="preserve">Yellow background</t>
  </si>
  <si>
    <t xml:space="preserve">Key assumptions requiring attention</t>
  </si>
  <si>
    <t xml:space="preserve">Currency</t>
  </si>
  <si>
    <t xml:space="preserve">USD; negatives in parentheses</t>
  </si>
  <si>
    <t xml:space="preserve">Units</t>
  </si>
  <si>
    <t xml:space="preserve">Per-unit figures labeled '/unit'; annual unless noted</t>
  </si>
  <si>
    <t xml:space="preserve">SHEETS IN THIS WORKBOOK</t>
  </si>
  <si>
    <t xml:space="preserve">1. Cover</t>
  </si>
  <si>
    <t xml:space="preserve">This page</t>
  </si>
  <si>
    <t xml:space="preserve">2. Assumptions</t>
  </si>
  <si>
    <t xml:space="preserve">All hardcoded inputs</t>
  </si>
  <si>
    <t xml:space="preserve">3. Rent Roll</t>
  </si>
  <si>
    <t xml:space="preserve">Unit mix</t>
  </si>
  <si>
    <t xml:space="preserve">4. Proforma</t>
  </si>
  <si>
    <t xml:space="preserve">5-year NOI</t>
  </si>
  <si>
    <t xml:space="preserve">5. Debt &amp; Equity</t>
  </si>
  <si>
    <t xml:space="preserve">Capital stack &amp; DSCR</t>
  </si>
  <si>
    <t xml:space="preserve">6. Returns</t>
  </si>
  <si>
    <t xml:space="preserve">IRR, multiple, CoC</t>
  </si>
  <si>
    <t xml:space="preserve">7. Sensitivity</t>
  </si>
  <si>
    <t xml:space="preserve">Exit cap × rent growth</t>
  </si>
  <si>
    <t xml:space="preserve">8. Sources &amp; Uses</t>
  </si>
  <si>
    <t xml:space="preserve">Closing capitalization</t>
  </si>
  <si>
    <t xml:space="preserve">Private &amp; Confidential · Rescia Properties, LLC · © 2026</t>
  </si>
  <si>
    <t xml:space="preserve">Assumptions &amp; Inputs</t>
  </si>
  <si>
    <t xml:space="preserve">All hardcoded inputs live on this sheet</t>
  </si>
  <si>
    <t xml:space="preserve">ACQUISITION</t>
  </si>
  <si>
    <t xml:space="preserve">Purchase Price</t>
  </si>
  <si>
    <t xml:space="preserve">Gross purchase price</t>
  </si>
  <si>
    <t xml:space="preserve">Unit Count</t>
  </si>
  <si>
    <t xml:space="preserve">Total residential units</t>
  </si>
  <si>
    <t xml:space="preserve">Price Per Unit</t>
  </si>
  <si>
    <t xml:space="preserve">Calc</t>
  </si>
  <si>
    <t xml:space="preserve">Going-in Cap Rate</t>
  </si>
  <si>
    <t xml:space="preserve">Trailing or Year 1</t>
  </si>
  <si>
    <t xml:space="preserve">Year Built</t>
  </si>
  <si>
    <t xml:space="preserve">Original construction</t>
  </si>
  <si>
    <t xml:space="preserve">Square Footage (total)</t>
  </si>
  <si>
    <t xml:space="preserve">Net rentable</t>
  </si>
  <si>
    <t xml:space="preserve">Closing Costs (%)</t>
  </si>
  <si>
    <t xml:space="preserve">Legal, title, lender</t>
  </si>
  <si>
    <t xml:space="preserve">Acquisition Fee (%)</t>
  </si>
  <si>
    <t xml:space="preserve">GP fee</t>
  </si>
  <si>
    <t xml:space="preserve">OPERATING — YEAR 1 INPUTS</t>
  </si>
  <si>
    <t xml:space="preserve">Average Market Rent (in-place)</t>
  </si>
  <si>
    <t xml:space="preserve">$/unit/month</t>
  </si>
  <si>
    <t xml:space="preserve">Loss to Lease</t>
  </si>
  <si>
    <t xml:space="preserve">Market − in-place gap</t>
  </si>
  <si>
    <t xml:space="preserve">Physical Vacancy</t>
  </si>
  <si>
    <t xml:space="preserve">Year 1</t>
  </si>
  <si>
    <t xml:space="preserve">Concessions</t>
  </si>
  <si>
    <t xml:space="preserve">% of GPR</t>
  </si>
  <si>
    <t xml:space="preserve">Bad Debt</t>
  </si>
  <si>
    <t xml:space="preserve">Other Income ($/unit/mo)</t>
  </si>
  <si>
    <t xml:space="preserve">Laundry, RUBS, pet</t>
  </si>
  <si>
    <t xml:space="preserve">Payroll ($/unit/yr)</t>
  </si>
  <si>
    <t xml:space="preserve">Bench $1.2-1.8k</t>
  </si>
  <si>
    <t xml:space="preserve">R&amp;M ($/unit/yr)</t>
  </si>
  <si>
    <t xml:space="preserve">Bench $400-700</t>
  </si>
  <si>
    <t xml:space="preserve">Marketing ($/unit/yr)</t>
  </si>
  <si>
    <t xml:space="preserve">Bench $100-175</t>
  </si>
  <si>
    <t xml:space="preserve">Admin ($/unit/yr)</t>
  </si>
  <si>
    <t xml:space="preserve">Office, legal</t>
  </si>
  <si>
    <t xml:space="preserve">Utilities ($/unit/yr)</t>
  </si>
  <si>
    <t xml:space="preserve">Common area</t>
  </si>
  <si>
    <t xml:space="preserve">Insurance ($/unit/yr)</t>
  </si>
  <si>
    <t xml:space="preserve">Get a broker quote</t>
  </si>
  <si>
    <t xml:space="preserve">Property Taxes ($/unit/yr)</t>
  </si>
  <si>
    <t xml:space="preserve">Reassess at purchase</t>
  </si>
  <si>
    <t xml:space="preserve">Contract Services ($/unit/yr)</t>
  </si>
  <si>
    <t xml:space="preserve">Landscape, pool</t>
  </si>
  <si>
    <t xml:space="preserve">Management Fee (% of EGI)</t>
  </si>
  <si>
    <t xml:space="preserve">Market 3-4%</t>
  </si>
  <si>
    <t xml:space="preserve">Replacement Reserves ($/unit/yr)</t>
  </si>
  <si>
    <t xml:space="preserve">Lender $250-300</t>
  </si>
  <si>
    <t xml:space="preserve">GROWTH &amp; EXIT</t>
  </si>
  <si>
    <t xml:space="preserve">Rent Growth (Yrs 2-5)</t>
  </si>
  <si>
    <t xml:space="preserve">Compounded annual</t>
  </si>
  <si>
    <t xml:space="preserve">Expense Growth (Yrs 2-5)</t>
  </si>
  <si>
    <t xml:space="preserve">Excludes taxes</t>
  </si>
  <si>
    <t xml:space="preserve">Property Tax Growth</t>
  </si>
  <si>
    <t xml:space="preserve">Reassessed base</t>
  </si>
  <si>
    <t xml:space="preserve">Other Income Growth</t>
  </si>
  <si>
    <t xml:space="preserve">Annual</t>
  </si>
  <si>
    <t xml:space="preserve">Exit Cap Rate</t>
  </si>
  <si>
    <t xml:space="preserve">Entry +25-75 bps</t>
  </si>
  <si>
    <t xml:space="preserve">Cost of Sale</t>
  </si>
  <si>
    <t xml:space="preserve">Broker + closing</t>
  </si>
  <si>
    <t xml:space="preserve">Hold Period (years)</t>
  </si>
  <si>
    <t xml:space="preserve">Base case</t>
  </si>
  <si>
    <t xml:space="preserve">DEBT &amp; EQUITY</t>
  </si>
  <si>
    <t xml:space="preserve">Loan-to-Cost (LTC)</t>
  </si>
  <si>
    <t xml:space="preserve">Target 65%</t>
  </si>
  <si>
    <t xml:space="preserve">Interest Rate</t>
  </si>
  <si>
    <t xml:space="preserve">Agency coupon</t>
  </si>
  <si>
    <t xml:space="preserve">Amortization (years)</t>
  </si>
  <si>
    <t xml:space="preserve">Standard agency</t>
  </si>
  <si>
    <t xml:space="preserve">Interest-Only Period (years)</t>
  </si>
  <si>
    <t xml:space="preserve">2 yrs typical</t>
  </si>
  <si>
    <t xml:space="preserve">Loan Term (years)</t>
  </si>
  <si>
    <t xml:space="preserve">Match hold</t>
  </si>
  <si>
    <t xml:space="preserve">Loan Origination (%)</t>
  </si>
  <si>
    <t xml:space="preserve">1% typical</t>
  </si>
  <si>
    <t xml:space="preserve">Preferred Return</t>
  </si>
  <si>
    <t xml:space="preserve">8% to LP</t>
  </si>
  <si>
    <t xml:space="preserve">LP / GP Split (above pref)</t>
  </si>
  <si>
    <t xml:space="preserve">80/20 promote</t>
  </si>
  <si>
    <t xml:space="preserve">CAPEX PROGRAM</t>
  </si>
  <si>
    <t xml:space="preserve">Total CapEx Budget ($/unit)</t>
  </si>
  <si>
    <t xml:space="preserve">1980s-90s typical</t>
  </si>
  <si>
    <t xml:space="preserve">CapEx Spend Year 1 (%)</t>
  </si>
  <si>
    <t xml:space="preserve">Front-loaded</t>
  </si>
  <si>
    <t xml:space="preserve">CapEx Spend Year 2 (%)</t>
  </si>
  <si>
    <t xml:space="preserve">CapEx Spend Year 3 (%)</t>
  </si>
  <si>
    <t xml:space="preserve">Rent Premium Post-Reno ($/unit/mo)</t>
  </si>
  <si>
    <t xml:space="preserve">Interior reno lift</t>
  </si>
  <si>
    <t xml:space="preserve">Unit Mix &amp; Rent Roll</t>
  </si>
  <si>
    <t xml:space="preserve">In-place composition</t>
  </si>
  <si>
    <t xml:space="preserve">Unit Type</t>
  </si>
  <si>
    <t xml:space="preserve">Bed/Bath</t>
  </si>
  <si>
    <t xml:space="preserve">SF/Unit</t>
  </si>
  <si>
    <t xml:space="preserve">Total SF</t>
  </si>
  <si>
    <t xml:space="preserve">In-Place Rent</t>
  </si>
  <si>
    <t xml:space="preserve">Market Rent</t>
  </si>
  <si>
    <t xml:space="preserve">Monthly Total</t>
  </si>
  <si>
    <t xml:space="preserve">A1 - Studio</t>
  </si>
  <si>
    <t xml:space="preserve">0/1</t>
  </si>
  <si>
    <t xml:space="preserve">B1 - 1BR</t>
  </si>
  <si>
    <t xml:space="preserve">1/1</t>
  </si>
  <si>
    <t xml:space="preserve">B2 - 1BR Premium</t>
  </si>
  <si>
    <t xml:space="preserve">C1 - 2BR</t>
  </si>
  <si>
    <t xml:space="preserve">2/2</t>
  </si>
  <si>
    <t xml:space="preserve">TOTAL / WEIGHTED AVG</t>
  </si>
  <si>
    <t xml:space="preserve">Annual Gross Potential (in-place)</t>
  </si>
  <si>
    <t xml:space="preserve">Annual Gross Potential (market)</t>
  </si>
  <si>
    <t xml:space="preserve">Implied Loss to Lease</t>
  </si>
  <si>
    <t xml:space="preserve">5-Year Operating Proforma</t>
  </si>
  <si>
    <t xml:space="preserve">Revenue, expenses, NOI</t>
  </si>
  <si>
    <t xml:space="preserve">Line Item</t>
  </si>
  <si>
    <t xml:space="preserve">Year 2</t>
  </si>
  <si>
    <t xml:space="preserve">Year 3</t>
  </si>
  <si>
    <t xml:space="preserve">Year 4</t>
  </si>
  <si>
    <t xml:space="preserve">Year 5</t>
  </si>
  <si>
    <t xml:space="preserve">5-Yr Total</t>
  </si>
  <si>
    <t xml:space="preserve">CAGR</t>
  </si>
  <si>
    <t xml:space="preserve">REVENUE</t>
  </si>
  <si>
    <t xml:space="preserve">Gross Potential Rent</t>
  </si>
  <si>
    <t xml:space="preserve">(Less) Loss to Lease</t>
  </si>
  <si>
    <t xml:space="preserve">(Less) Vacancy</t>
  </si>
  <si>
    <t xml:space="preserve">(Less) Concessions</t>
  </si>
  <si>
    <t xml:space="preserve">(Less) Bad Debt</t>
  </si>
  <si>
    <t xml:space="preserve">Net Rental Income</t>
  </si>
  <si>
    <t xml:space="preserve">Other Income</t>
  </si>
  <si>
    <t xml:space="preserve">EFFECTIVE GROSS INCOME</t>
  </si>
  <si>
    <t xml:space="preserve">OPERATING EXPENSES</t>
  </si>
  <si>
    <t xml:space="preserve">Payroll</t>
  </si>
  <si>
    <t xml:space="preserve">Repairs &amp; Maintenance</t>
  </si>
  <si>
    <t xml:space="preserve">Marketing</t>
  </si>
  <si>
    <t xml:space="preserve">Administrative</t>
  </si>
  <si>
    <t xml:space="preserve">Utilities</t>
  </si>
  <si>
    <t xml:space="preserve">Insurance</t>
  </si>
  <si>
    <t xml:space="preserve">Property Taxes</t>
  </si>
  <si>
    <t xml:space="preserve">Contract Services</t>
  </si>
  <si>
    <t xml:space="preserve">Management Fee</t>
  </si>
  <si>
    <t xml:space="preserve">TOTAL OPERATING EXPENSES</t>
  </si>
  <si>
    <t xml:space="preserve">NET OPERATING INCOME</t>
  </si>
  <si>
    <t xml:space="preserve">NOI</t>
  </si>
  <si>
    <t xml:space="preserve">Less: Replacement Reserves</t>
  </si>
  <si>
    <t xml:space="preserve">NOI After Reserves</t>
  </si>
  <si>
    <t xml:space="preserve">NOI Margin (% of EGI)</t>
  </si>
  <si>
    <t xml:space="preserve">Capital Stack &amp; Debt Sizing</t>
  </si>
  <si>
    <t xml:space="preserve">Loan metrics, DSCR</t>
  </si>
  <si>
    <t xml:space="preserve">CAPITAL STACK</t>
  </si>
  <si>
    <t xml:space="preserve">Closing Costs</t>
  </si>
  <si>
    <t xml:space="preserve">Acquisition Fee</t>
  </si>
  <si>
    <t xml:space="preserve">CapEx Budget</t>
  </si>
  <si>
    <t xml:space="preserve">Total Project Cost</t>
  </si>
  <si>
    <t xml:space="preserve">DEBT</t>
  </si>
  <si>
    <t xml:space="preserve">Loan-to-Cost</t>
  </si>
  <si>
    <t xml:space="preserve">Loan Amount</t>
  </si>
  <si>
    <t xml:space="preserve">I/O Period (years)</t>
  </si>
  <si>
    <t xml:space="preserve">Annual I/O Payment</t>
  </si>
  <si>
    <t xml:space="preserve">Annual P&amp;I Payment</t>
  </si>
  <si>
    <t xml:space="preserve">DSCR (Year 3 NOI)</t>
  </si>
  <si>
    <t xml:space="preserve">Stabilized NOI (Year 3)</t>
  </si>
  <si>
    <t xml:space="preserve">DSCR on I/O</t>
  </si>
  <si>
    <t xml:space="preserve">DSCR on P&amp;I</t>
  </si>
  <si>
    <t xml:space="preserve">Agency Target DSCR</t>
  </si>
  <si>
    <t xml:space="preserve">EQUITY</t>
  </si>
  <si>
    <t xml:space="preserve">Total Equity Required</t>
  </si>
  <si>
    <t xml:space="preserve">Equity %</t>
  </si>
  <si>
    <t xml:space="preserve">Equity Per Unit</t>
  </si>
  <si>
    <t xml:space="preserve">Returns Analysis</t>
  </si>
  <si>
    <t xml:space="preserve">Equity cash flows, IRR, multiple, CoC</t>
  </si>
  <si>
    <t xml:space="preserve">Period</t>
  </si>
  <si>
    <t xml:space="preserve">Year 0</t>
  </si>
  <si>
    <t xml:space="preserve">PROPERTY CASH FLOWS</t>
  </si>
  <si>
    <t xml:space="preserve">NOI (after reserves)</t>
  </si>
  <si>
    <t xml:space="preserve">(Less) Debt Service</t>
  </si>
  <si>
    <t xml:space="preserve">Cash Flow from Ops</t>
  </si>
  <si>
    <t xml:space="preserve">SALE IN YEAR 5</t>
  </si>
  <si>
    <t xml:space="preserve">Gross Sale Price</t>
  </si>
  <si>
    <t xml:space="preserve">(Less) Cost of Sale</t>
  </si>
  <si>
    <t xml:space="preserve">(Less) Loan Payoff</t>
  </si>
  <si>
    <t xml:space="preserve">Net Sale Proceeds</t>
  </si>
  <si>
    <t xml:space="preserve">EQUITY CASH FLOWS</t>
  </si>
  <si>
    <t xml:space="preserve">Equity Contribution</t>
  </si>
  <si>
    <t xml:space="preserve">Operating Distributions</t>
  </si>
  <si>
    <t xml:space="preserve">Sale Distribution</t>
  </si>
  <si>
    <t xml:space="preserve">Total Equity Cash Flow</t>
  </si>
  <si>
    <t xml:space="preserve">METRICS</t>
  </si>
  <si>
    <t xml:space="preserve">Project IRR</t>
  </si>
  <si>
    <t xml:space="preserve">Equity Multiple</t>
  </si>
  <si>
    <t xml:space="preserve">Avg Annual CoC</t>
  </si>
  <si>
    <t xml:space="preserve">Year 1 CoC</t>
  </si>
  <si>
    <t xml:space="preserve">Year 5 CoC (Operating only)</t>
  </si>
  <si>
    <t xml:space="preserve">Sensitivity Analysis</t>
  </si>
  <si>
    <t xml:space="preserve">Approximation: Project IRR by Exit Cap × Rent Growth</t>
  </si>
  <si>
    <t xml:space="preserve">Rent Growth (annual)</t>
  </si>
  <si>
    <t xml:space="preserve">Exit Cap ↓</t>
  </si>
  <si>
    <t xml:space="preserve">NOTE: Linear approximation for screening</t>
  </si>
  <si>
    <t xml:space="preserve">• Base case (3% rent, 5.75% exit) highlighted gold.</t>
  </si>
  <si>
    <t xml:space="preserve">• Institutional IC threshold: base IRR ≥ 15%, downside ≥ 8%.</t>
  </si>
  <si>
    <t xml:space="preserve">Sources &amp; Uses</t>
  </si>
  <si>
    <t xml:space="preserve">USES</t>
  </si>
  <si>
    <t xml:space="preserve">SOURCES</t>
  </si>
  <si>
    <t xml:space="preserve">Senior Loan</t>
  </si>
  <si>
    <t xml:space="preserve">LP Equity (95% of Equity)</t>
  </si>
  <si>
    <t xml:space="preserve">GP Co-Invest (5%)</t>
  </si>
  <si>
    <t xml:space="preserve">CapEx Reserve</t>
  </si>
  <si>
    <t xml:space="preserve">TOTAL SOURCES</t>
  </si>
  <si>
    <t xml:space="preserve">Loan Origination Fee</t>
  </si>
  <si>
    <t xml:space="preserve">TOTAL USES</t>
  </si>
  <si>
    <t xml:space="preserve">Sources − Uses (should be zero)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</si>
</sst>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;\(#,##0\);\-"/>
    <numFmt numFmtId="167" formatCode="0.0%;\(0.0%\);\-"/>
    <numFmt numFmtId="168" formatCode="@"/>
    <numFmt numFmtId="169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D3A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0"/>
      <color rgb="FF0B1D3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B1D3A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B1D3A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C9A24B"/>
        <bgColor rgb="FFFF9900"/>
      </patternFill>
    </fill>
    <fill>
      <patternFill patternType="solid">
        <fgColor rgb="FF0B1D3A"/>
        <bgColor rgb="FF003300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0BE"/>
      </left>
      <right style="thin">
        <color rgb="FFD8D0BE"/>
      </right>
      <top style="thin">
        <color rgb="FFD8D0BE"/>
      </top>
      <bottom style="thin">
        <color rgb="FFD8D0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0BE"/>
      <rgbColor rgb="FF808080"/>
      <rgbColor rgb="FF9999FF"/>
      <rgbColor rgb="FF993366"/>
      <rgbColor rgb="FFFFF9C4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C9A24B"/>
      <rgbColor rgb="FF0B1D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18"/>
  </cols>
  <sheetData>
    <row r="1" customFormat="false" ht="27.75" hidden="false" customHeight="true" outlineLevel="0" collapsed="false">
      <c r="B1" s="1" t="s">
        <v>0</v>
      </c>
      <c r="C1" s="1"/>
      <c r="D1" s="1"/>
    </row>
    <row r="2" customFormat="false" ht="15" hidden="false" customHeight="true" outlineLevel="0" collapsed="false">
      <c r="B2" s="2" t="s">
        <v>1</v>
      </c>
      <c r="C2" s="2"/>
      <c r="D2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10" customFormat="false" ht="21.75" hidden="false" customHeight="true" outlineLevel="0" collapsed="false">
      <c r="B10" s="5" t="s">
        <v>10</v>
      </c>
      <c r="C10" s="5"/>
      <c r="D10" s="5"/>
    </row>
    <row r="11" customFormat="false" ht="15" hidden="false" customHeight="false" outlineLevel="0" collapsed="false">
      <c r="B11" s="3" t="s">
        <v>11</v>
      </c>
      <c r="C11" s="6" t="s">
        <v>12</v>
      </c>
    </row>
    <row r="12" customFormat="false" ht="15" hidden="false" customHeight="false" outlineLevel="0" collapsed="false">
      <c r="B12" s="3" t="s">
        <v>13</v>
      </c>
      <c r="C12" s="6" t="s">
        <v>14</v>
      </c>
    </row>
    <row r="13" customFormat="false" ht="15" hidden="false" customHeight="false" outlineLevel="0" collapsed="false">
      <c r="B13" s="3" t="s">
        <v>15</v>
      </c>
      <c r="C13" s="6" t="s">
        <v>16</v>
      </c>
    </row>
    <row r="14" customFormat="false" ht="15" hidden="false" customHeight="false" outlineLevel="0" collapsed="false">
      <c r="B14" s="3" t="s">
        <v>17</v>
      </c>
      <c r="C14" s="6" t="s">
        <v>18</v>
      </c>
    </row>
    <row r="15" customFormat="false" ht="15" hidden="false" customHeight="false" outlineLevel="0" collapsed="false">
      <c r="B15" s="3" t="s">
        <v>19</v>
      </c>
      <c r="C15" s="6" t="s">
        <v>20</v>
      </c>
    </row>
    <row r="16" customFormat="false" ht="15" hidden="false" customHeight="false" outlineLevel="0" collapsed="false">
      <c r="B16" s="3" t="s">
        <v>21</v>
      </c>
      <c r="C16" s="6" t="s">
        <v>22</v>
      </c>
    </row>
    <row r="18" customFormat="false" ht="21.75" hidden="false" customHeight="true" outlineLevel="0" collapsed="false">
      <c r="B18" s="5" t="s">
        <v>23</v>
      </c>
      <c r="C18" s="5"/>
      <c r="D18" s="5"/>
    </row>
    <row r="19" customFormat="false" ht="15" hidden="false" customHeight="false" outlineLevel="0" collapsed="false">
      <c r="B19" s="3" t="s">
        <v>24</v>
      </c>
      <c r="C19" s="6" t="s">
        <v>25</v>
      </c>
    </row>
    <row r="20" customFormat="false" ht="15" hidden="false" customHeight="false" outlineLevel="0" collapsed="false">
      <c r="B20" s="3" t="s">
        <v>26</v>
      </c>
      <c r="C20" s="6" t="s">
        <v>27</v>
      </c>
    </row>
    <row r="21" customFormat="false" ht="15" hidden="false" customHeight="false" outlineLevel="0" collapsed="false">
      <c r="B21" s="3" t="s">
        <v>28</v>
      </c>
      <c r="C21" s="6" t="s">
        <v>29</v>
      </c>
    </row>
    <row r="22" customFormat="false" ht="15" hidden="false" customHeight="false" outlineLevel="0" collapsed="false">
      <c r="B22" s="3" t="s">
        <v>30</v>
      </c>
      <c r="C22" s="6" t="s">
        <v>31</v>
      </c>
    </row>
    <row r="23" customFormat="false" ht="15" hidden="false" customHeight="false" outlineLevel="0" collapsed="false">
      <c r="B23" s="3" t="s">
        <v>32</v>
      </c>
      <c r="C23" s="6" t="s">
        <v>33</v>
      </c>
    </row>
    <row r="24" customFormat="false" ht="15" hidden="false" customHeight="false" outlineLevel="0" collapsed="false">
      <c r="B24" s="3" t="s">
        <v>34</v>
      </c>
      <c r="C24" s="6" t="s">
        <v>35</v>
      </c>
    </row>
    <row r="25" customFormat="false" ht="15" hidden="false" customHeight="false" outlineLevel="0" collapsed="false">
      <c r="B25" s="3" t="s">
        <v>36</v>
      </c>
      <c r="C25" s="6" t="s">
        <v>37</v>
      </c>
    </row>
    <row r="26" customFormat="false" ht="15" hidden="false" customHeight="false" outlineLevel="0" collapsed="false">
      <c r="B26" s="3" t="s">
        <v>38</v>
      </c>
      <c r="C26" s="6" t="s">
        <v>39</v>
      </c>
    </row>
    <row r="29" customFormat="false" ht="15" hidden="false" customHeight="false" outlineLevel="0" collapsed="false">
      <c r="B29" s="7" t="s">
        <v>40</v>
      </c>
      <c r="C29" s="7"/>
      <c r="D29" s="7"/>
    </row>
  </sheetData>
  <mergeCells count="5">
    <mergeCell ref="B1:D1"/>
    <mergeCell ref="B2:D2"/>
    <mergeCell ref="B10:D10"/>
    <mergeCell ref="B18:D1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6"/>
  </cols>
  <sheetData>
    <row r="1" customFormat="false" ht="27.75" hidden="false" customHeight="true" outlineLevel="0" collapsed="false">
      <c r="B1" s="1" t="s">
        <v>41</v>
      </c>
      <c r="C1" s="1"/>
      <c r="D1" s="1"/>
    </row>
    <row r="2" customFormat="false" ht="15" hidden="false" customHeight="true" outlineLevel="0" collapsed="false">
      <c r="B2" s="2" t="s">
        <v>42</v>
      </c>
      <c r="C2" s="2"/>
      <c r="D2" s="2"/>
    </row>
    <row r="4" customFormat="false" ht="21.75" hidden="false" customHeight="true" outlineLevel="0" collapsed="false">
      <c r="B4" s="5" t="s">
        <v>43</v>
      </c>
      <c r="C4" s="5"/>
      <c r="D4" s="5"/>
    </row>
    <row r="5" customFormat="false" ht="15" hidden="false" customHeight="false" outlineLevel="0" collapsed="false">
      <c r="B5" s="3" t="s">
        <v>44</v>
      </c>
      <c r="C5" s="8" t="n">
        <v>30000000</v>
      </c>
      <c r="D5" s="9" t="s">
        <v>45</v>
      </c>
    </row>
    <row r="6" customFormat="false" ht="15" hidden="false" customHeight="false" outlineLevel="0" collapsed="false">
      <c r="B6" s="3" t="s">
        <v>46</v>
      </c>
      <c r="C6" s="10" t="n">
        <v>200</v>
      </c>
      <c r="D6" s="9" t="s">
        <v>47</v>
      </c>
    </row>
    <row r="7" customFormat="false" ht="15" hidden="false" customHeight="false" outlineLevel="0" collapsed="false">
      <c r="B7" s="3" t="s">
        <v>48</v>
      </c>
      <c r="C7" s="11" t="n">
        <f aca="false">Assumptions!$C$5/Assumptions!$C$6</f>
        <v>150000</v>
      </c>
      <c r="D7" s="9" t="s">
        <v>49</v>
      </c>
    </row>
    <row r="8" customFormat="false" ht="15" hidden="false" customHeight="false" outlineLevel="0" collapsed="false">
      <c r="B8" s="3" t="s">
        <v>50</v>
      </c>
      <c r="C8" s="12" t="n">
        <v>0.055</v>
      </c>
      <c r="D8" s="9" t="s">
        <v>51</v>
      </c>
    </row>
    <row r="9" customFormat="false" ht="15" hidden="false" customHeight="false" outlineLevel="0" collapsed="false">
      <c r="B9" s="3" t="s">
        <v>52</v>
      </c>
      <c r="C9" s="13" t="n">
        <v>1998</v>
      </c>
      <c r="D9" s="9" t="s">
        <v>53</v>
      </c>
    </row>
    <row r="10" customFormat="false" ht="15" hidden="false" customHeight="false" outlineLevel="0" collapsed="false">
      <c r="B10" s="3" t="s">
        <v>54</v>
      </c>
      <c r="C10" s="10" t="n">
        <v>175000</v>
      </c>
      <c r="D10" s="9" t="s">
        <v>55</v>
      </c>
    </row>
    <row r="11" customFormat="false" ht="15" hidden="false" customHeight="false" outlineLevel="0" collapsed="false">
      <c r="B11" s="3" t="s">
        <v>56</v>
      </c>
      <c r="C11" s="12" t="n">
        <v>0.015</v>
      </c>
      <c r="D11" s="9" t="s">
        <v>57</v>
      </c>
    </row>
    <row r="12" customFormat="false" ht="15" hidden="false" customHeight="false" outlineLevel="0" collapsed="false">
      <c r="B12" s="3" t="s">
        <v>58</v>
      </c>
      <c r="C12" s="12" t="n">
        <v>0.015</v>
      </c>
      <c r="D12" s="9" t="s">
        <v>59</v>
      </c>
    </row>
    <row r="14" customFormat="false" ht="21.75" hidden="false" customHeight="true" outlineLevel="0" collapsed="false">
      <c r="B14" s="5" t="s">
        <v>60</v>
      </c>
      <c r="C14" s="5"/>
      <c r="D14" s="5"/>
    </row>
    <row r="15" customFormat="false" ht="15" hidden="false" customHeight="false" outlineLevel="0" collapsed="false">
      <c r="B15" s="3" t="s">
        <v>61</v>
      </c>
      <c r="C15" s="8" t="n">
        <v>1450</v>
      </c>
      <c r="D15" s="9" t="s">
        <v>62</v>
      </c>
    </row>
    <row r="16" customFormat="false" ht="15" hidden="false" customHeight="false" outlineLevel="0" collapsed="false">
      <c r="B16" s="3" t="s">
        <v>63</v>
      </c>
      <c r="C16" s="12" t="n">
        <v>0.03</v>
      </c>
      <c r="D16" s="9" t="s">
        <v>64</v>
      </c>
    </row>
    <row r="17" customFormat="false" ht="15" hidden="false" customHeight="false" outlineLevel="0" collapsed="false">
      <c r="B17" s="3" t="s">
        <v>65</v>
      </c>
      <c r="C17" s="12" t="n">
        <v>0.05</v>
      </c>
      <c r="D17" s="9" t="s">
        <v>66</v>
      </c>
    </row>
    <row r="18" customFormat="false" ht="15" hidden="false" customHeight="false" outlineLevel="0" collapsed="false">
      <c r="B18" s="3" t="s">
        <v>67</v>
      </c>
      <c r="C18" s="12" t="n">
        <v>0.01</v>
      </c>
      <c r="D18" s="9" t="s">
        <v>68</v>
      </c>
    </row>
    <row r="19" customFormat="false" ht="15" hidden="false" customHeight="false" outlineLevel="0" collapsed="false">
      <c r="B19" s="3" t="s">
        <v>69</v>
      </c>
      <c r="C19" s="12" t="n">
        <v>0.01</v>
      </c>
      <c r="D19" s="9" t="s">
        <v>68</v>
      </c>
    </row>
    <row r="20" customFormat="false" ht="15" hidden="false" customHeight="false" outlineLevel="0" collapsed="false">
      <c r="B20" s="3" t="s">
        <v>70</v>
      </c>
      <c r="C20" s="8" t="n">
        <v>85</v>
      </c>
      <c r="D20" s="9" t="s">
        <v>71</v>
      </c>
    </row>
    <row r="21" customFormat="false" ht="15" hidden="false" customHeight="false" outlineLevel="0" collapsed="false">
      <c r="B21" s="3" t="s">
        <v>72</v>
      </c>
      <c r="C21" s="8" t="n">
        <v>1400</v>
      </c>
      <c r="D21" s="9" t="s">
        <v>73</v>
      </c>
    </row>
    <row r="22" customFormat="false" ht="15" hidden="false" customHeight="false" outlineLevel="0" collapsed="false">
      <c r="B22" s="3" t="s">
        <v>74</v>
      </c>
      <c r="C22" s="8" t="n">
        <v>550</v>
      </c>
      <c r="D22" s="9" t="s">
        <v>75</v>
      </c>
    </row>
    <row r="23" customFormat="false" ht="15" hidden="false" customHeight="false" outlineLevel="0" collapsed="false">
      <c r="B23" s="3" t="s">
        <v>76</v>
      </c>
      <c r="C23" s="8" t="n">
        <v>120</v>
      </c>
      <c r="D23" s="9" t="s">
        <v>77</v>
      </c>
    </row>
    <row r="24" customFormat="false" ht="15" hidden="false" customHeight="false" outlineLevel="0" collapsed="false">
      <c r="B24" s="3" t="s">
        <v>78</v>
      </c>
      <c r="C24" s="8" t="n">
        <v>200</v>
      </c>
      <c r="D24" s="9" t="s">
        <v>79</v>
      </c>
    </row>
    <row r="25" customFormat="false" ht="15" hidden="false" customHeight="false" outlineLevel="0" collapsed="false">
      <c r="B25" s="3" t="s">
        <v>80</v>
      </c>
      <c r="C25" s="8" t="n">
        <v>350</v>
      </c>
      <c r="D25" s="9" t="s">
        <v>81</v>
      </c>
    </row>
    <row r="26" customFormat="false" ht="15" hidden="false" customHeight="false" outlineLevel="0" collapsed="false">
      <c r="B26" s="3" t="s">
        <v>82</v>
      </c>
      <c r="C26" s="8" t="n">
        <v>325</v>
      </c>
      <c r="D26" s="9" t="s">
        <v>83</v>
      </c>
    </row>
    <row r="27" customFormat="false" ht="15" hidden="false" customHeight="false" outlineLevel="0" collapsed="false">
      <c r="B27" s="3" t="s">
        <v>84</v>
      </c>
      <c r="C27" s="8" t="n">
        <v>2200</v>
      </c>
      <c r="D27" s="9" t="s">
        <v>85</v>
      </c>
    </row>
    <row r="28" customFormat="false" ht="15" hidden="false" customHeight="false" outlineLevel="0" collapsed="false">
      <c r="B28" s="3" t="s">
        <v>86</v>
      </c>
      <c r="C28" s="8" t="n">
        <v>450</v>
      </c>
      <c r="D28" s="9" t="s">
        <v>87</v>
      </c>
    </row>
    <row r="29" customFormat="false" ht="15" hidden="false" customHeight="false" outlineLevel="0" collapsed="false">
      <c r="B29" s="3" t="s">
        <v>88</v>
      </c>
      <c r="C29" s="12" t="n">
        <v>0.035</v>
      </c>
      <c r="D29" s="9" t="s">
        <v>89</v>
      </c>
    </row>
    <row r="30" customFormat="false" ht="15" hidden="false" customHeight="false" outlineLevel="0" collapsed="false">
      <c r="B30" s="3" t="s">
        <v>90</v>
      </c>
      <c r="C30" s="8" t="n">
        <v>300</v>
      </c>
      <c r="D30" s="9" t="s">
        <v>91</v>
      </c>
    </row>
    <row r="32" customFormat="false" ht="21.75" hidden="false" customHeight="true" outlineLevel="0" collapsed="false">
      <c r="B32" s="5" t="s">
        <v>92</v>
      </c>
      <c r="C32" s="5"/>
      <c r="D32" s="5"/>
    </row>
    <row r="33" customFormat="false" ht="15" hidden="false" customHeight="false" outlineLevel="0" collapsed="false">
      <c r="B33" s="3" t="s">
        <v>93</v>
      </c>
      <c r="C33" s="12" t="n">
        <v>0.03</v>
      </c>
      <c r="D33" s="9" t="s">
        <v>94</v>
      </c>
    </row>
    <row r="34" customFormat="false" ht="15" hidden="false" customHeight="false" outlineLevel="0" collapsed="false">
      <c r="B34" s="3" t="s">
        <v>95</v>
      </c>
      <c r="C34" s="12" t="n">
        <v>0.025</v>
      </c>
      <c r="D34" s="9" t="s">
        <v>96</v>
      </c>
    </row>
    <row r="35" customFormat="false" ht="15" hidden="false" customHeight="false" outlineLevel="0" collapsed="false">
      <c r="B35" s="3" t="s">
        <v>97</v>
      </c>
      <c r="C35" s="12" t="n">
        <v>0.04</v>
      </c>
      <c r="D35" s="9" t="s">
        <v>98</v>
      </c>
    </row>
    <row r="36" customFormat="false" ht="15" hidden="false" customHeight="false" outlineLevel="0" collapsed="false">
      <c r="B36" s="3" t="s">
        <v>99</v>
      </c>
      <c r="C36" s="12" t="n">
        <v>0.025</v>
      </c>
      <c r="D36" s="9" t="s">
        <v>100</v>
      </c>
    </row>
    <row r="37" customFormat="false" ht="15" hidden="false" customHeight="false" outlineLevel="0" collapsed="false">
      <c r="B37" s="3" t="s">
        <v>101</v>
      </c>
      <c r="C37" s="12" t="n">
        <v>0.0575</v>
      </c>
      <c r="D37" s="9" t="s">
        <v>102</v>
      </c>
    </row>
    <row r="38" customFormat="false" ht="15" hidden="false" customHeight="false" outlineLevel="0" collapsed="false">
      <c r="B38" s="3" t="s">
        <v>103</v>
      </c>
      <c r="C38" s="12" t="n">
        <v>0.02</v>
      </c>
      <c r="D38" s="9" t="s">
        <v>104</v>
      </c>
    </row>
    <row r="39" customFormat="false" ht="15" hidden="false" customHeight="false" outlineLevel="0" collapsed="false">
      <c r="B39" s="3" t="s">
        <v>105</v>
      </c>
      <c r="C39" s="10" t="n">
        <v>5</v>
      </c>
      <c r="D39" s="9" t="s">
        <v>106</v>
      </c>
    </row>
    <row r="41" customFormat="false" ht="21.75" hidden="false" customHeight="true" outlineLevel="0" collapsed="false">
      <c r="B41" s="5" t="s">
        <v>107</v>
      </c>
      <c r="C41" s="5"/>
      <c r="D41" s="5"/>
    </row>
    <row r="42" customFormat="false" ht="15" hidden="false" customHeight="false" outlineLevel="0" collapsed="false">
      <c r="B42" s="3" t="s">
        <v>108</v>
      </c>
      <c r="C42" s="12" t="n">
        <v>0.65</v>
      </c>
      <c r="D42" s="9" t="s">
        <v>109</v>
      </c>
    </row>
    <row r="43" customFormat="false" ht="15" hidden="false" customHeight="false" outlineLevel="0" collapsed="false">
      <c r="B43" s="3" t="s">
        <v>110</v>
      </c>
      <c r="C43" s="12" t="n">
        <v>0.06</v>
      </c>
      <c r="D43" s="9" t="s">
        <v>111</v>
      </c>
    </row>
    <row r="44" customFormat="false" ht="15" hidden="false" customHeight="false" outlineLevel="0" collapsed="false">
      <c r="B44" s="3" t="s">
        <v>112</v>
      </c>
      <c r="C44" s="10" t="n">
        <v>30</v>
      </c>
      <c r="D44" s="9" t="s">
        <v>113</v>
      </c>
    </row>
    <row r="45" customFormat="false" ht="15" hidden="false" customHeight="false" outlineLevel="0" collapsed="false">
      <c r="B45" s="3" t="s">
        <v>114</v>
      </c>
      <c r="C45" s="10" t="n">
        <v>2</v>
      </c>
      <c r="D45" s="9" t="s">
        <v>115</v>
      </c>
    </row>
    <row r="46" customFormat="false" ht="15" hidden="false" customHeight="false" outlineLevel="0" collapsed="false">
      <c r="B46" s="3" t="s">
        <v>116</v>
      </c>
      <c r="C46" s="10" t="n">
        <v>5</v>
      </c>
      <c r="D46" s="9" t="s">
        <v>117</v>
      </c>
    </row>
    <row r="47" customFormat="false" ht="15" hidden="false" customHeight="false" outlineLevel="0" collapsed="false">
      <c r="B47" s="3" t="s">
        <v>118</v>
      </c>
      <c r="C47" s="12" t="n">
        <v>0.01</v>
      </c>
      <c r="D47" s="9" t="s">
        <v>119</v>
      </c>
    </row>
    <row r="48" customFormat="false" ht="15" hidden="false" customHeight="false" outlineLevel="0" collapsed="false">
      <c r="B48" s="3" t="s">
        <v>120</v>
      </c>
      <c r="C48" s="12" t="n">
        <v>0.08</v>
      </c>
      <c r="D48" s="9" t="s">
        <v>121</v>
      </c>
    </row>
    <row r="49" customFormat="false" ht="15" hidden="false" customHeight="false" outlineLevel="0" collapsed="false">
      <c r="B49" s="3" t="s">
        <v>122</v>
      </c>
      <c r="C49" s="12" t="n">
        <v>0.8</v>
      </c>
      <c r="D49" s="9" t="s">
        <v>123</v>
      </c>
    </row>
    <row r="51" customFormat="false" ht="21.75" hidden="false" customHeight="true" outlineLevel="0" collapsed="false">
      <c r="B51" s="5" t="s">
        <v>124</v>
      </c>
      <c r="C51" s="5"/>
      <c r="D51" s="5"/>
    </row>
    <row r="52" customFormat="false" ht="15" hidden="false" customHeight="false" outlineLevel="0" collapsed="false">
      <c r="B52" s="3" t="s">
        <v>125</v>
      </c>
      <c r="C52" s="8" t="n">
        <v>12000</v>
      </c>
      <c r="D52" s="9" t="s">
        <v>126</v>
      </c>
    </row>
    <row r="53" customFormat="false" ht="15" hidden="false" customHeight="false" outlineLevel="0" collapsed="false">
      <c r="B53" s="3" t="s">
        <v>127</v>
      </c>
      <c r="C53" s="12" t="n">
        <v>0.5</v>
      </c>
      <c r="D53" s="9" t="s">
        <v>128</v>
      </c>
    </row>
    <row r="54" customFormat="false" ht="15" hidden="false" customHeight="false" outlineLevel="0" collapsed="false">
      <c r="B54" s="3" t="s">
        <v>129</v>
      </c>
      <c r="C54" s="12" t="n">
        <v>0.3</v>
      </c>
      <c r="D54" s="9"/>
    </row>
    <row r="55" customFormat="false" ht="15" hidden="false" customHeight="false" outlineLevel="0" collapsed="false">
      <c r="B55" s="3" t="s">
        <v>130</v>
      </c>
      <c r="C55" s="12" t="n">
        <v>0.2</v>
      </c>
      <c r="D55" s="9"/>
    </row>
    <row r="56" customFormat="false" ht="15" hidden="false" customHeight="false" outlineLevel="0" collapsed="false">
      <c r="B56" s="3" t="s">
        <v>131</v>
      </c>
      <c r="C56" s="8" t="n">
        <v>150</v>
      </c>
      <c r="D56" s="9" t="s">
        <v>132</v>
      </c>
    </row>
    <row r="60" customFormat="false" ht="15" hidden="false" customHeight="false" outlineLevel="0" collapsed="false">
      <c r="B60" s="7" t="s">
        <v>40</v>
      </c>
      <c r="C60" s="7"/>
      <c r="D60" s="7"/>
    </row>
  </sheetData>
  <mergeCells count="8">
    <mergeCell ref="B1:D1"/>
    <mergeCell ref="B2:D2"/>
    <mergeCell ref="B4:D4"/>
    <mergeCell ref="B14:D14"/>
    <mergeCell ref="B32:D32"/>
    <mergeCell ref="B41:D41"/>
    <mergeCell ref="B51:D51"/>
    <mergeCell ref="B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0"/>
    <col collapsed="false" customWidth="true" hidden="false" outlineLevel="0" max="6" min="6" style="0" width="12"/>
    <col collapsed="false" customWidth="true" hidden="false" outlineLevel="0" max="9" min="7" style="0" width="14"/>
  </cols>
  <sheetData>
    <row r="1" customFormat="false" ht="27.75" hidden="false" customHeight="true" outlineLevel="0" collapsed="false">
      <c r="B1" s="1" t="s">
        <v>133</v>
      </c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B2" s="2" t="s">
        <v>134</v>
      </c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B4" s="14" t="s">
        <v>135</v>
      </c>
      <c r="C4" s="14" t="s">
        <v>136</v>
      </c>
      <c r="D4" s="14" t="s">
        <v>21</v>
      </c>
      <c r="E4" s="14" t="s">
        <v>137</v>
      </c>
      <c r="F4" s="14" t="s">
        <v>138</v>
      </c>
      <c r="G4" s="14" t="s">
        <v>139</v>
      </c>
      <c r="H4" s="14" t="s">
        <v>140</v>
      </c>
      <c r="I4" s="14" t="s">
        <v>141</v>
      </c>
    </row>
    <row r="5" customFormat="false" ht="15" hidden="false" customHeight="false" outlineLevel="0" collapsed="false">
      <c r="B5" s="6" t="s">
        <v>142</v>
      </c>
      <c r="C5" s="6" t="s">
        <v>143</v>
      </c>
      <c r="D5" s="10" t="n">
        <v>30</v>
      </c>
      <c r="E5" s="10" t="n">
        <v>525</v>
      </c>
      <c r="F5" s="15" t="n">
        <f aca="false">D5*E5</f>
        <v>15750</v>
      </c>
      <c r="G5" s="8" t="n">
        <v>1050</v>
      </c>
      <c r="H5" s="8" t="n">
        <v>1200</v>
      </c>
      <c r="I5" s="11" t="n">
        <f aca="false">D5*G5</f>
        <v>31500</v>
      </c>
    </row>
    <row r="6" customFormat="false" ht="15" hidden="false" customHeight="false" outlineLevel="0" collapsed="false">
      <c r="B6" s="6" t="s">
        <v>144</v>
      </c>
      <c r="C6" s="6" t="s">
        <v>145</v>
      </c>
      <c r="D6" s="10" t="n">
        <v>80</v>
      </c>
      <c r="E6" s="10" t="n">
        <v>750</v>
      </c>
      <c r="F6" s="15" t="n">
        <f aca="false">D6*E6</f>
        <v>60000</v>
      </c>
      <c r="G6" s="8" t="n">
        <v>1350</v>
      </c>
      <c r="H6" s="8" t="n">
        <v>1450</v>
      </c>
      <c r="I6" s="11" t="n">
        <f aca="false">D6*G6</f>
        <v>108000</v>
      </c>
    </row>
    <row r="7" customFormat="false" ht="15" hidden="false" customHeight="false" outlineLevel="0" collapsed="false">
      <c r="B7" s="6" t="s">
        <v>146</v>
      </c>
      <c r="C7" s="6" t="s">
        <v>145</v>
      </c>
      <c r="D7" s="10" t="n">
        <v>40</v>
      </c>
      <c r="E7" s="10" t="n">
        <v>825</v>
      </c>
      <c r="F7" s="15" t="n">
        <f aca="false">D7*E7</f>
        <v>33000</v>
      </c>
      <c r="G7" s="8" t="n">
        <v>1450</v>
      </c>
      <c r="H7" s="8" t="n">
        <v>1550</v>
      </c>
      <c r="I7" s="11" t="n">
        <f aca="false">D7*G7</f>
        <v>58000</v>
      </c>
    </row>
    <row r="8" customFormat="false" ht="15" hidden="false" customHeight="false" outlineLevel="0" collapsed="false">
      <c r="B8" s="6" t="s">
        <v>147</v>
      </c>
      <c r="C8" s="6" t="s">
        <v>148</v>
      </c>
      <c r="D8" s="10" t="n">
        <v>50</v>
      </c>
      <c r="E8" s="10" t="n">
        <v>1050</v>
      </c>
      <c r="F8" s="15" t="n">
        <f aca="false">D8*E8</f>
        <v>52500</v>
      </c>
      <c r="G8" s="8" t="n">
        <v>1750</v>
      </c>
      <c r="H8" s="8" t="n">
        <v>1900</v>
      </c>
      <c r="I8" s="11" t="n">
        <f aca="false">D8*G8</f>
        <v>87500</v>
      </c>
    </row>
    <row r="9" customFormat="false" ht="15" hidden="false" customHeight="false" outlineLevel="0" collapsed="false">
      <c r="B9" s="16" t="s">
        <v>149</v>
      </c>
      <c r="C9" s="17"/>
      <c r="D9" s="18" t="n">
        <f aca="false">SUM(D5:D8)</f>
        <v>200</v>
      </c>
      <c r="E9" s="17"/>
      <c r="F9" s="18" t="n">
        <f aca="false">SUM(F5:F8)</f>
        <v>161250</v>
      </c>
      <c r="G9" s="19" t="n">
        <f aca="false">SUMPRODUCT(D5:D8,G5:G8)/D9</f>
        <v>1425</v>
      </c>
      <c r="H9" s="19" t="n">
        <f aca="false">SUMPRODUCT(D5:D8,H5:H8)/D9</f>
        <v>1545</v>
      </c>
      <c r="I9" s="19" t="n">
        <f aca="false">SUM(I5:I8)</f>
        <v>285000</v>
      </c>
    </row>
    <row r="11" customFormat="false" ht="15" hidden="false" customHeight="false" outlineLevel="0" collapsed="false">
      <c r="B11" s="3" t="s">
        <v>150</v>
      </c>
      <c r="C11" s="11" t="n">
        <f aca="false">I9*12</f>
        <v>3420000</v>
      </c>
    </row>
    <row r="12" customFormat="false" ht="15" hidden="false" customHeight="false" outlineLevel="0" collapsed="false">
      <c r="B12" s="3" t="s">
        <v>151</v>
      </c>
      <c r="C12" s="11" t="n">
        <f aca="false">SUMPRODUCT(D5:D8,H5:H8)*12</f>
        <v>3708000</v>
      </c>
    </row>
    <row r="13" customFormat="false" ht="15" hidden="false" customHeight="false" outlineLevel="0" collapsed="false">
      <c r="B13" s="3" t="s">
        <v>152</v>
      </c>
      <c r="C13" s="20" t="n">
        <f aca="false">1-C11/C12</f>
        <v>0.0776699029126213</v>
      </c>
    </row>
    <row r="16" customFormat="false" ht="15" hidden="false" customHeight="false" outlineLevel="0" collapsed="false">
      <c r="B16" s="7" t="s">
        <v>40</v>
      </c>
      <c r="C16" s="7"/>
      <c r="D16" s="7"/>
      <c r="E16" s="7"/>
      <c r="F16" s="7"/>
      <c r="G16" s="7"/>
      <c r="H16" s="7"/>
      <c r="I16" s="7"/>
    </row>
  </sheetData>
  <mergeCells count="3">
    <mergeCell ref="B1:I1"/>
    <mergeCell ref="B2:I2"/>
    <mergeCell ref="B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9" min="3" style="0" width="16"/>
  </cols>
  <sheetData>
    <row r="1" customFormat="false" ht="27.75" hidden="false" customHeight="true" outlineLevel="0" collapsed="false">
      <c r="B1" s="1" t="s">
        <v>153</v>
      </c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B2" s="2" t="s">
        <v>154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21" t="s">
        <v>155</v>
      </c>
      <c r="C4" s="22" t="s">
        <v>66</v>
      </c>
      <c r="D4" s="22" t="s">
        <v>156</v>
      </c>
      <c r="E4" s="22" t="s">
        <v>157</v>
      </c>
      <c r="F4" s="22" t="s">
        <v>158</v>
      </c>
      <c r="G4" s="22" t="s">
        <v>159</v>
      </c>
      <c r="H4" s="22" t="s">
        <v>160</v>
      </c>
      <c r="I4" s="22" t="s">
        <v>161</v>
      </c>
    </row>
    <row r="5" customFormat="false" ht="21.75" hidden="false" customHeight="true" outlineLevel="0" collapsed="false">
      <c r="B5" s="5" t="s">
        <v>162</v>
      </c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B6" s="3" t="s">
        <v>163</v>
      </c>
      <c r="C6" s="23" t="n">
        <f aca="false">Assumptions!$C$15*Assumptions!$C$6*12</f>
        <v>3480000</v>
      </c>
      <c r="D6" s="11" t="n">
        <f aca="false">C6*(1+Assumptions!$C$33)</f>
        <v>3584400</v>
      </c>
      <c r="E6" s="11" t="n">
        <f aca="false">D6*(1+Assumptions!$C$33)</f>
        <v>3691932</v>
      </c>
      <c r="F6" s="11" t="n">
        <f aca="false">E6*(1+Assumptions!$C$33)</f>
        <v>3802689.96</v>
      </c>
      <c r="G6" s="11" t="n">
        <f aca="false">F6*(1+Assumptions!$C$33)</f>
        <v>3916770.6588</v>
      </c>
      <c r="H6" s="11" t="n">
        <f aca="false">SUM(C6:G6)</f>
        <v>18475792.6188</v>
      </c>
      <c r="I6" s="20" t="n">
        <f aca="false">IFERROR((G6/C6)^(1/4)-1,0)</f>
        <v>0.03</v>
      </c>
    </row>
    <row r="7" customFormat="false" ht="15" hidden="false" customHeight="false" outlineLevel="0" collapsed="false">
      <c r="B7" s="6" t="s">
        <v>164</v>
      </c>
      <c r="C7" s="11" t="n">
        <f aca="false">-C6*Assumptions!$C$16</f>
        <v>-104400</v>
      </c>
      <c r="D7" s="11" t="n">
        <f aca="false">-D6*Assumptions!$C$16</f>
        <v>-107532</v>
      </c>
      <c r="E7" s="11" t="n">
        <f aca="false">-E6*Assumptions!$C$16</f>
        <v>-110757.96</v>
      </c>
      <c r="F7" s="11" t="n">
        <f aca="false">-F6*Assumptions!$C$16</f>
        <v>-114080.6988</v>
      </c>
      <c r="G7" s="11" t="n">
        <f aca="false">-G6*Assumptions!$C$16</f>
        <v>-117503.119764</v>
      </c>
      <c r="H7" s="11" t="n">
        <f aca="false">SUM(C7:G7)</f>
        <v>-554273.778564</v>
      </c>
    </row>
    <row r="8" customFormat="false" ht="15" hidden="false" customHeight="false" outlineLevel="0" collapsed="false">
      <c r="B8" s="6" t="s">
        <v>165</v>
      </c>
      <c r="C8" s="11" t="n">
        <f aca="false">-C6*Assumptions!$C$17</f>
        <v>-174000</v>
      </c>
      <c r="D8" s="11" t="n">
        <f aca="false">-D6*Assumptions!$C$17</f>
        <v>-179220</v>
      </c>
      <c r="E8" s="11" t="n">
        <f aca="false">-E6*Assumptions!$C$17</f>
        <v>-184596.6</v>
      </c>
      <c r="F8" s="11" t="n">
        <f aca="false">-F6*Assumptions!$C$17</f>
        <v>-190134.498</v>
      </c>
      <c r="G8" s="11" t="n">
        <f aca="false">-G6*Assumptions!$C$17</f>
        <v>-195838.53294</v>
      </c>
      <c r="H8" s="11" t="n">
        <f aca="false">SUM(C8:G8)</f>
        <v>-923789.63094</v>
      </c>
    </row>
    <row r="9" customFormat="false" ht="15" hidden="false" customHeight="false" outlineLevel="0" collapsed="false">
      <c r="B9" s="6" t="s">
        <v>166</v>
      </c>
      <c r="C9" s="11" t="n">
        <f aca="false">-C6*Assumptions!$C$18</f>
        <v>-34800</v>
      </c>
      <c r="D9" s="11" t="n">
        <f aca="false">-D6*Assumptions!$C$18</f>
        <v>-35844</v>
      </c>
      <c r="E9" s="11" t="n">
        <f aca="false">-E6*Assumptions!$C$18</f>
        <v>-36919.32</v>
      </c>
      <c r="F9" s="11" t="n">
        <f aca="false">-F6*Assumptions!$C$18</f>
        <v>-38026.8996</v>
      </c>
      <c r="G9" s="11" t="n">
        <f aca="false">-G6*Assumptions!$C$18</f>
        <v>-39167.706588</v>
      </c>
      <c r="H9" s="11" t="n">
        <f aca="false">SUM(C9:G9)</f>
        <v>-184757.926188</v>
      </c>
    </row>
    <row r="10" customFormat="false" ht="15" hidden="false" customHeight="false" outlineLevel="0" collapsed="false">
      <c r="B10" s="6" t="s">
        <v>167</v>
      </c>
      <c r="C10" s="11" t="n">
        <f aca="false">-C6*Assumptions!$C$19</f>
        <v>-34800</v>
      </c>
      <c r="D10" s="11" t="n">
        <f aca="false">-D6*Assumptions!$C$19</f>
        <v>-35844</v>
      </c>
      <c r="E10" s="11" t="n">
        <f aca="false">-E6*Assumptions!$C$19</f>
        <v>-36919.32</v>
      </c>
      <c r="F10" s="11" t="n">
        <f aca="false">-F6*Assumptions!$C$19</f>
        <v>-38026.8996</v>
      </c>
      <c r="G10" s="11" t="n">
        <f aca="false">-G6*Assumptions!$C$19</f>
        <v>-39167.706588</v>
      </c>
      <c r="H10" s="11" t="n">
        <f aca="false">SUM(C10:G10)</f>
        <v>-184757.926188</v>
      </c>
    </row>
    <row r="11" customFormat="false" ht="15" hidden="false" customHeight="false" outlineLevel="0" collapsed="false">
      <c r="B11" s="3" t="s">
        <v>168</v>
      </c>
      <c r="C11" s="24" t="n">
        <f aca="false">SUM(C6:C10)</f>
        <v>3132000</v>
      </c>
      <c r="D11" s="24" t="n">
        <f aca="false">SUM(D6:D10)</f>
        <v>3225960</v>
      </c>
      <c r="E11" s="24" t="n">
        <f aca="false">SUM(E6:E10)</f>
        <v>3322738.8</v>
      </c>
      <c r="F11" s="24" t="n">
        <f aca="false">SUM(F6:F10)</f>
        <v>3422420.964</v>
      </c>
      <c r="G11" s="24" t="n">
        <f aca="false">SUM(G6:G10)</f>
        <v>3525093.59292</v>
      </c>
      <c r="H11" s="24" t="n">
        <f aca="false">SUM(C11:G11)</f>
        <v>16628213.35692</v>
      </c>
    </row>
    <row r="12" customFormat="false" ht="15" hidden="false" customHeight="false" outlineLevel="0" collapsed="false">
      <c r="B12" s="6" t="s">
        <v>169</v>
      </c>
      <c r="C12" s="23" t="n">
        <f aca="false">Assumptions!$C$20*Assumptions!$C$6*12</f>
        <v>204000</v>
      </c>
      <c r="D12" s="11" t="n">
        <f aca="false">C12*(1+Assumptions!$C$36)</f>
        <v>209100</v>
      </c>
      <c r="E12" s="11" t="n">
        <f aca="false">D12*(1+Assumptions!$C$36)</f>
        <v>214327.5</v>
      </c>
      <c r="F12" s="11" t="n">
        <f aca="false">E12*(1+Assumptions!$C$36)</f>
        <v>219685.6875</v>
      </c>
      <c r="G12" s="11" t="n">
        <f aca="false">F12*(1+Assumptions!$C$36)</f>
        <v>225177.8296875</v>
      </c>
      <c r="H12" s="11" t="n">
        <f aca="false">SUM(C12:G12)</f>
        <v>1072291.0171875</v>
      </c>
    </row>
    <row r="13" customFormat="false" ht="15" hidden="false" customHeight="false" outlineLevel="0" collapsed="false">
      <c r="B13" s="3" t="s">
        <v>170</v>
      </c>
      <c r="C13" s="25" t="n">
        <f aca="false">C11+C12</f>
        <v>3336000</v>
      </c>
      <c r="D13" s="25" t="n">
        <f aca="false">D11+D12</f>
        <v>3435060</v>
      </c>
      <c r="E13" s="25" t="n">
        <f aca="false">E11+E12</f>
        <v>3537066.3</v>
      </c>
      <c r="F13" s="25" t="n">
        <f aca="false">F11+F12</f>
        <v>3642106.6515</v>
      </c>
      <c r="G13" s="25" t="n">
        <f aca="false">G11+G12</f>
        <v>3750271.4226075</v>
      </c>
      <c r="H13" s="25" t="n">
        <f aca="false">SUM(C13:G13)</f>
        <v>17700504.3741075</v>
      </c>
      <c r="I13" s="26" t="n">
        <f aca="false">IFERROR((G13/C13)^(1/4)-1,0)</f>
        <v>0.029696329513798</v>
      </c>
    </row>
    <row r="15" customFormat="false" ht="21.75" hidden="false" customHeight="true" outlineLevel="0" collapsed="false">
      <c r="B15" s="5" t="s">
        <v>171</v>
      </c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B16" s="6" t="s">
        <v>172</v>
      </c>
      <c r="C16" s="23" t="n">
        <f aca="false">Assumptions!$C$21*Assumptions!$C$6</f>
        <v>280000</v>
      </c>
      <c r="D16" s="11" t="n">
        <f aca="false">C16*(1+Assumptions!$C$34)</f>
        <v>287000</v>
      </c>
      <c r="E16" s="11" t="n">
        <f aca="false">D16*(1+Assumptions!$C$34)</f>
        <v>294175</v>
      </c>
      <c r="F16" s="11" t="n">
        <f aca="false">E16*(1+Assumptions!$C$34)</f>
        <v>301529.375</v>
      </c>
      <c r="G16" s="11" t="n">
        <f aca="false">F16*(1+Assumptions!$C$34)</f>
        <v>309067.609375</v>
      </c>
      <c r="H16" s="11" t="n">
        <f aca="false">SUM(C16:G16)</f>
        <v>1471771.984375</v>
      </c>
    </row>
    <row r="17" customFormat="false" ht="15" hidden="false" customHeight="false" outlineLevel="0" collapsed="false">
      <c r="B17" s="6" t="s">
        <v>173</v>
      </c>
      <c r="C17" s="23" t="n">
        <f aca="false">Assumptions!$C$22*Assumptions!$C$6</f>
        <v>110000</v>
      </c>
      <c r="D17" s="11" t="n">
        <f aca="false">C17*(1+Assumptions!$C$34)</f>
        <v>112750</v>
      </c>
      <c r="E17" s="11" t="n">
        <f aca="false">D17*(1+Assumptions!$C$34)</f>
        <v>115568.75</v>
      </c>
      <c r="F17" s="11" t="n">
        <f aca="false">E17*(1+Assumptions!$C$34)</f>
        <v>118457.96875</v>
      </c>
      <c r="G17" s="11" t="n">
        <f aca="false">F17*(1+Assumptions!$C$34)</f>
        <v>121419.41796875</v>
      </c>
      <c r="H17" s="11" t="n">
        <f aca="false">SUM(C17:G17)</f>
        <v>578196.13671875</v>
      </c>
    </row>
    <row r="18" customFormat="false" ht="15" hidden="false" customHeight="false" outlineLevel="0" collapsed="false">
      <c r="B18" s="6" t="s">
        <v>174</v>
      </c>
      <c r="C18" s="23" t="n">
        <f aca="false">Assumptions!$C$23*Assumptions!$C$6</f>
        <v>24000</v>
      </c>
      <c r="D18" s="11" t="n">
        <f aca="false">C18*(1+Assumptions!$C$34)</f>
        <v>24600</v>
      </c>
      <c r="E18" s="11" t="n">
        <f aca="false">D18*(1+Assumptions!$C$34)</f>
        <v>25215</v>
      </c>
      <c r="F18" s="11" t="n">
        <f aca="false">E18*(1+Assumptions!$C$34)</f>
        <v>25845.375</v>
      </c>
      <c r="G18" s="11" t="n">
        <f aca="false">F18*(1+Assumptions!$C$34)</f>
        <v>26491.509375</v>
      </c>
      <c r="H18" s="11" t="n">
        <f aca="false">SUM(C18:G18)</f>
        <v>126151.884375</v>
      </c>
    </row>
    <row r="19" customFormat="false" ht="15" hidden="false" customHeight="false" outlineLevel="0" collapsed="false">
      <c r="B19" s="6" t="s">
        <v>175</v>
      </c>
      <c r="C19" s="23" t="n">
        <f aca="false">Assumptions!$C$24*Assumptions!$C$6</f>
        <v>40000</v>
      </c>
      <c r="D19" s="11" t="n">
        <f aca="false">C19*(1+Assumptions!$C$34)</f>
        <v>41000</v>
      </c>
      <c r="E19" s="11" t="n">
        <f aca="false">D19*(1+Assumptions!$C$34)</f>
        <v>42025</v>
      </c>
      <c r="F19" s="11" t="n">
        <f aca="false">E19*(1+Assumptions!$C$34)</f>
        <v>43075.625</v>
      </c>
      <c r="G19" s="11" t="n">
        <f aca="false">F19*(1+Assumptions!$C$34)</f>
        <v>44152.515625</v>
      </c>
      <c r="H19" s="11" t="n">
        <f aca="false">SUM(C19:G19)</f>
        <v>210253.140625</v>
      </c>
    </row>
    <row r="20" customFormat="false" ht="15" hidden="false" customHeight="false" outlineLevel="0" collapsed="false">
      <c r="B20" s="6" t="s">
        <v>176</v>
      </c>
      <c r="C20" s="23" t="n">
        <f aca="false">Assumptions!$C$25*Assumptions!$C$6</f>
        <v>70000</v>
      </c>
      <c r="D20" s="11" t="n">
        <f aca="false">C20*(1+Assumptions!$C$34)</f>
        <v>71750</v>
      </c>
      <c r="E20" s="11" t="n">
        <f aca="false">D20*(1+Assumptions!$C$34)</f>
        <v>73543.75</v>
      </c>
      <c r="F20" s="11" t="n">
        <f aca="false">E20*(1+Assumptions!$C$34)</f>
        <v>75382.34375</v>
      </c>
      <c r="G20" s="11" t="n">
        <f aca="false">F20*(1+Assumptions!$C$34)</f>
        <v>77266.90234375</v>
      </c>
      <c r="H20" s="11" t="n">
        <f aca="false">SUM(C20:G20)</f>
        <v>367942.99609375</v>
      </c>
    </row>
    <row r="21" customFormat="false" ht="15" hidden="false" customHeight="false" outlineLevel="0" collapsed="false">
      <c r="B21" s="6" t="s">
        <v>177</v>
      </c>
      <c r="C21" s="23" t="n">
        <f aca="false">Assumptions!$C$26*Assumptions!$C$6</f>
        <v>65000</v>
      </c>
      <c r="D21" s="11" t="n">
        <f aca="false">C21*(1+Assumptions!$C$34)</f>
        <v>66625</v>
      </c>
      <c r="E21" s="11" t="n">
        <f aca="false">D21*(1+Assumptions!$C$34)</f>
        <v>68290.625</v>
      </c>
      <c r="F21" s="11" t="n">
        <f aca="false">E21*(1+Assumptions!$C$34)</f>
        <v>69997.890625</v>
      </c>
      <c r="G21" s="11" t="n">
        <f aca="false">F21*(1+Assumptions!$C$34)</f>
        <v>71747.837890625</v>
      </c>
      <c r="H21" s="11" t="n">
        <f aca="false">SUM(C21:G21)</f>
        <v>341661.353515625</v>
      </c>
    </row>
    <row r="22" customFormat="false" ht="15" hidden="false" customHeight="false" outlineLevel="0" collapsed="false">
      <c r="B22" s="6" t="s">
        <v>178</v>
      </c>
      <c r="C22" s="23" t="n">
        <f aca="false">Assumptions!$C$27*Assumptions!$C$6</f>
        <v>440000</v>
      </c>
      <c r="D22" s="11" t="n">
        <f aca="false">C22*(1+Assumptions!$C$35)</f>
        <v>457600</v>
      </c>
      <c r="E22" s="11" t="n">
        <f aca="false">D22*(1+Assumptions!$C$35)</f>
        <v>475904</v>
      </c>
      <c r="F22" s="11" t="n">
        <f aca="false">E22*(1+Assumptions!$C$35)</f>
        <v>494940.16</v>
      </c>
      <c r="G22" s="11" t="n">
        <f aca="false">F22*(1+Assumptions!$C$35)</f>
        <v>514737.7664</v>
      </c>
      <c r="H22" s="11" t="n">
        <f aca="false">SUM(C22:G22)</f>
        <v>2383181.9264</v>
      </c>
    </row>
    <row r="23" customFormat="false" ht="15" hidden="false" customHeight="false" outlineLevel="0" collapsed="false">
      <c r="B23" s="6" t="s">
        <v>179</v>
      </c>
      <c r="C23" s="23" t="n">
        <f aca="false">Assumptions!$C$28*Assumptions!$C$6</f>
        <v>90000</v>
      </c>
      <c r="D23" s="11" t="n">
        <f aca="false">C23*(1+Assumptions!$C$34)</f>
        <v>92250</v>
      </c>
      <c r="E23" s="11" t="n">
        <f aca="false">D23*(1+Assumptions!$C$34)</f>
        <v>94556.25</v>
      </c>
      <c r="F23" s="11" t="n">
        <f aca="false">E23*(1+Assumptions!$C$34)</f>
        <v>96920.15625</v>
      </c>
      <c r="G23" s="11" t="n">
        <f aca="false">F23*(1+Assumptions!$C$34)</f>
        <v>99343.1601562499</v>
      </c>
      <c r="H23" s="11" t="n">
        <f aca="false">SUM(C23:G23)</f>
        <v>473069.56640625</v>
      </c>
    </row>
    <row r="24" customFormat="false" ht="15" hidden="false" customHeight="false" outlineLevel="0" collapsed="false">
      <c r="B24" s="6" t="s">
        <v>180</v>
      </c>
      <c r="C24" s="11" t="n">
        <f aca="false">C13*Assumptions!$C$29</f>
        <v>116760</v>
      </c>
      <c r="D24" s="11" t="n">
        <f aca="false">D13*Assumptions!$C$29</f>
        <v>120227.1</v>
      </c>
      <c r="E24" s="11" t="n">
        <f aca="false">E13*Assumptions!$C$29</f>
        <v>123797.3205</v>
      </c>
      <c r="F24" s="11" t="n">
        <f aca="false">F13*Assumptions!$C$29</f>
        <v>127473.7328025</v>
      </c>
      <c r="G24" s="11" t="n">
        <f aca="false">G13*Assumptions!$C$29</f>
        <v>131259.499791263</v>
      </c>
      <c r="H24" s="11" t="n">
        <f aca="false">SUM(C24:G24)</f>
        <v>619517.653093763</v>
      </c>
    </row>
    <row r="25" customFormat="false" ht="15" hidden="false" customHeight="false" outlineLevel="0" collapsed="false">
      <c r="B25" s="3" t="s">
        <v>181</v>
      </c>
      <c r="C25" s="24" t="n">
        <f aca="false">SUM(C16:C24)</f>
        <v>1235760</v>
      </c>
      <c r="D25" s="24" t="n">
        <f aca="false">SUM(D16:D24)</f>
        <v>1273802.1</v>
      </c>
      <c r="E25" s="24" t="n">
        <f aca="false">SUM(E16:E24)</f>
        <v>1313075.6955</v>
      </c>
      <c r="F25" s="24" t="n">
        <f aca="false">SUM(F16:F24)</f>
        <v>1353622.6271775</v>
      </c>
      <c r="G25" s="24" t="n">
        <f aca="false">SUM(G16:G24)</f>
        <v>1395486.21892564</v>
      </c>
      <c r="H25" s="24" t="n">
        <f aca="false">SUM(C25:G25)</f>
        <v>6571746.64160314</v>
      </c>
    </row>
    <row r="27" customFormat="false" ht="21.75" hidden="false" customHeight="true" outlineLevel="0" collapsed="false">
      <c r="B27" s="5" t="s">
        <v>182</v>
      </c>
      <c r="C27" s="5"/>
      <c r="D27" s="5"/>
      <c r="E27" s="5"/>
      <c r="F27" s="5"/>
      <c r="G27" s="5"/>
      <c r="H27" s="5"/>
      <c r="I27" s="5"/>
    </row>
    <row r="28" customFormat="false" ht="15" hidden="false" customHeight="false" outlineLevel="0" collapsed="false">
      <c r="B28" s="3" t="s">
        <v>183</v>
      </c>
      <c r="C28" s="27" t="n">
        <f aca="false">C13-C25</f>
        <v>2100240</v>
      </c>
      <c r="D28" s="27" t="n">
        <f aca="false">D13-D25</f>
        <v>2161257.9</v>
      </c>
      <c r="E28" s="27" t="n">
        <f aca="false">E13-E25</f>
        <v>2223990.6045</v>
      </c>
      <c r="F28" s="27" t="n">
        <f aca="false">F13-F25</f>
        <v>2288484.0243225</v>
      </c>
      <c r="G28" s="27" t="n">
        <f aca="false">G13-G25</f>
        <v>2354785.20368186</v>
      </c>
      <c r="H28" s="27" t="n">
        <f aca="false">SUM(C28:G28)</f>
        <v>11128757.7325044</v>
      </c>
      <c r="I28" s="28" t="n">
        <f aca="false">IFERROR((G28/C28)^(1/4)-1,0)</f>
        <v>0.0290123643735831</v>
      </c>
    </row>
    <row r="29" customFormat="false" ht="15" hidden="false" customHeight="false" outlineLevel="0" collapsed="false">
      <c r="B29" s="6" t="s">
        <v>184</v>
      </c>
      <c r="C29" s="11" t="n">
        <f aca="false">Assumptions!$C$30*Assumptions!$C$6*(1+Assumptions!$C$34)^0</f>
        <v>60000</v>
      </c>
      <c r="D29" s="11" t="n">
        <f aca="false">Assumptions!$C$30*Assumptions!$C$6*(1+Assumptions!$C$34)^1</f>
        <v>61500</v>
      </c>
      <c r="E29" s="11" t="n">
        <f aca="false">Assumptions!$C$30*Assumptions!$C$6*(1+Assumptions!$C$34)^2</f>
        <v>63037.5</v>
      </c>
      <c r="F29" s="11" t="n">
        <f aca="false">Assumptions!$C$30*Assumptions!$C$6*(1+Assumptions!$C$34)^3</f>
        <v>64613.4375</v>
      </c>
      <c r="G29" s="11" t="n">
        <f aca="false">Assumptions!$C$30*Assumptions!$C$6*(1+Assumptions!$C$34)^4</f>
        <v>66228.7734375</v>
      </c>
    </row>
    <row r="30" customFormat="false" ht="15" hidden="false" customHeight="false" outlineLevel="0" collapsed="false">
      <c r="B30" s="3" t="s">
        <v>185</v>
      </c>
      <c r="C30" s="24" t="n">
        <f aca="false">C28-C29</f>
        <v>2040240</v>
      </c>
      <c r="D30" s="24" t="n">
        <f aca="false">D28-D29</f>
        <v>2099757.9</v>
      </c>
      <c r="E30" s="24" t="n">
        <f aca="false">E28-E29</f>
        <v>2160953.1045</v>
      </c>
      <c r="F30" s="24" t="n">
        <f aca="false">F28-F29</f>
        <v>2223870.5868225</v>
      </c>
      <c r="G30" s="24" t="n">
        <f aca="false">G28-G29</f>
        <v>2288556.43024436</v>
      </c>
    </row>
    <row r="31" customFormat="false" ht="15" hidden="false" customHeight="false" outlineLevel="0" collapsed="false">
      <c r="B31" s="9" t="s">
        <v>186</v>
      </c>
      <c r="C31" s="20" t="n">
        <f aca="false">C28/C13</f>
        <v>0.629568345323741</v>
      </c>
      <c r="D31" s="20" t="n">
        <f aca="false">D28/D13</f>
        <v>0.629176171595256</v>
      </c>
      <c r="E31" s="20" t="n">
        <f aca="false">E28/E13</f>
        <v>0.628767010813453</v>
      </c>
      <c r="F31" s="20" t="n">
        <f aca="false">F28/F13</f>
        <v>0.628340749818512</v>
      </c>
      <c r="G31" s="20" t="n">
        <f aca="false">G28/G13</f>
        <v>0.627897274177724</v>
      </c>
    </row>
    <row r="34" customFormat="false" ht="15" hidden="false" customHeight="false" outlineLevel="0" collapsed="false">
      <c r="B34" s="7" t="s">
        <v>40</v>
      </c>
      <c r="C34" s="7"/>
      <c r="D34" s="7"/>
      <c r="E34" s="7"/>
      <c r="F34" s="7"/>
      <c r="G34" s="7"/>
      <c r="H34" s="7"/>
      <c r="I34" s="7"/>
    </row>
  </sheetData>
  <mergeCells count="6">
    <mergeCell ref="B1:I1"/>
    <mergeCell ref="B2:I2"/>
    <mergeCell ref="B5:I5"/>
    <mergeCell ref="B15:I15"/>
    <mergeCell ref="B27:I27"/>
    <mergeCell ref="B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8"/>
  </cols>
  <sheetData>
    <row r="1" customFormat="false" ht="27.75" hidden="false" customHeight="true" outlineLevel="0" collapsed="false">
      <c r="B1" s="1" t="s">
        <v>187</v>
      </c>
      <c r="C1" s="1"/>
      <c r="D1" s="1"/>
    </row>
    <row r="2" customFormat="false" ht="15" hidden="false" customHeight="true" outlineLevel="0" collapsed="false">
      <c r="B2" s="2" t="s">
        <v>188</v>
      </c>
      <c r="C2" s="2"/>
      <c r="D2" s="2"/>
    </row>
    <row r="4" customFormat="false" ht="21.75" hidden="false" customHeight="true" outlineLevel="0" collapsed="false">
      <c r="B4" s="5" t="s">
        <v>189</v>
      </c>
      <c r="C4" s="5"/>
      <c r="D4" s="5"/>
    </row>
    <row r="5" customFormat="false" ht="15" hidden="false" customHeight="false" outlineLevel="0" collapsed="false">
      <c r="B5" s="3" t="s">
        <v>44</v>
      </c>
      <c r="C5" s="23" t="n">
        <f aca="false">Assumptions!$C$5</f>
        <v>30000000</v>
      </c>
    </row>
    <row r="6" customFormat="false" ht="15" hidden="false" customHeight="false" outlineLevel="0" collapsed="false">
      <c r="B6" s="3" t="s">
        <v>190</v>
      </c>
      <c r="C6" s="11" t="n">
        <f aca="false">Assumptions!$C$5*Assumptions!$C$11</f>
        <v>450000</v>
      </c>
    </row>
    <row r="7" customFormat="false" ht="15" hidden="false" customHeight="false" outlineLevel="0" collapsed="false">
      <c r="B7" s="3" t="s">
        <v>191</v>
      </c>
      <c r="C7" s="11" t="n">
        <f aca="false">Assumptions!$C$5*Assumptions!$C$12</f>
        <v>450000</v>
      </c>
    </row>
    <row r="8" customFormat="false" ht="15" hidden="false" customHeight="false" outlineLevel="0" collapsed="false">
      <c r="B8" s="3" t="s">
        <v>192</v>
      </c>
      <c r="C8" s="11" t="n">
        <f aca="false">Assumptions!$C$52*Assumptions!$C$6</f>
        <v>2400000</v>
      </c>
    </row>
    <row r="9" customFormat="false" ht="15" hidden="false" customHeight="false" outlineLevel="0" collapsed="false">
      <c r="B9" s="3" t="s">
        <v>193</v>
      </c>
      <c r="C9" s="29" t="n">
        <f aca="false">SUM(C5:C8)</f>
        <v>33300000</v>
      </c>
    </row>
    <row r="11" customFormat="false" ht="21.75" hidden="false" customHeight="true" outlineLevel="0" collapsed="false">
      <c r="B11" s="5" t="s">
        <v>194</v>
      </c>
      <c r="C11" s="5"/>
      <c r="D11" s="5"/>
    </row>
    <row r="12" customFormat="false" ht="15" hidden="false" customHeight="false" outlineLevel="0" collapsed="false">
      <c r="B12" s="3" t="s">
        <v>195</v>
      </c>
      <c r="C12" s="30" t="n">
        <f aca="false">Assumptions!$C$42</f>
        <v>0.65</v>
      </c>
    </row>
    <row r="13" customFormat="false" ht="15" hidden="false" customHeight="false" outlineLevel="0" collapsed="false">
      <c r="B13" s="3" t="s">
        <v>196</v>
      </c>
      <c r="C13" s="11" t="n">
        <f aca="false">C9*C12</f>
        <v>21645000</v>
      </c>
    </row>
    <row r="14" customFormat="false" ht="15" hidden="false" customHeight="false" outlineLevel="0" collapsed="false">
      <c r="B14" s="6" t="s">
        <v>110</v>
      </c>
      <c r="C14" s="30" t="n">
        <f aca="false">Assumptions!$C$43</f>
        <v>0.06</v>
      </c>
    </row>
    <row r="15" customFormat="false" ht="15" hidden="false" customHeight="false" outlineLevel="0" collapsed="false">
      <c r="B15" s="6" t="s">
        <v>112</v>
      </c>
      <c r="C15" s="31" t="n">
        <f aca="false">Assumptions!$C$44</f>
        <v>30</v>
      </c>
    </row>
    <row r="16" customFormat="false" ht="15" hidden="false" customHeight="false" outlineLevel="0" collapsed="false">
      <c r="B16" s="6" t="s">
        <v>197</v>
      </c>
      <c r="C16" s="31" t="n">
        <f aca="false">Assumptions!$C$45</f>
        <v>2</v>
      </c>
    </row>
    <row r="17" customFormat="false" ht="15" hidden="false" customHeight="false" outlineLevel="0" collapsed="false">
      <c r="B17" s="6" t="s">
        <v>198</v>
      </c>
      <c r="C17" s="11" t="n">
        <f aca="false">C13*Assumptions!$C$43</f>
        <v>1298700</v>
      </c>
    </row>
    <row r="18" customFormat="false" ht="15" hidden="false" customHeight="false" outlineLevel="0" collapsed="false">
      <c r="B18" s="6" t="s">
        <v>199</v>
      </c>
      <c r="C18" s="11" t="n">
        <f aca="false">IFERROR(-PMT(Assumptions!$C$43/12,Assumptions!$C$44*12,C13)*12,0)</f>
        <v>1557272.53403176</v>
      </c>
    </row>
    <row r="20" customFormat="false" ht="21.75" hidden="false" customHeight="true" outlineLevel="0" collapsed="false">
      <c r="B20" s="5" t="s">
        <v>200</v>
      </c>
      <c r="C20" s="5"/>
      <c r="D20" s="5"/>
    </row>
    <row r="21" customFormat="false" ht="15" hidden="false" customHeight="false" outlineLevel="0" collapsed="false">
      <c r="B21" s="3" t="s">
        <v>201</v>
      </c>
      <c r="C21" s="23" t="n">
        <f aca="false">Proforma!E28</f>
        <v>2223990.6045</v>
      </c>
    </row>
    <row r="22" customFormat="false" ht="15" hidden="false" customHeight="false" outlineLevel="0" collapsed="false">
      <c r="B22" s="3" t="s">
        <v>202</v>
      </c>
      <c r="C22" s="32" t="n">
        <f aca="false">IFERROR(C21/C17,0)</f>
        <v>1.71247447793948</v>
      </c>
    </row>
    <row r="23" customFormat="false" ht="15" hidden="false" customHeight="false" outlineLevel="0" collapsed="false">
      <c r="B23" s="3" t="s">
        <v>203</v>
      </c>
      <c r="C23" s="32" t="n">
        <f aca="false">IFERROR(C21/C18,0)</f>
        <v>1.42813191390599</v>
      </c>
    </row>
    <row r="24" customFormat="false" ht="15" hidden="false" customHeight="false" outlineLevel="0" collapsed="false">
      <c r="B24" s="9" t="s">
        <v>204</v>
      </c>
      <c r="C24" s="33" t="n">
        <v>1.25</v>
      </c>
    </row>
    <row r="26" customFormat="false" ht="21.75" hidden="false" customHeight="true" outlineLevel="0" collapsed="false">
      <c r="B26" s="5" t="s">
        <v>205</v>
      </c>
      <c r="C26" s="5"/>
      <c r="D26" s="5"/>
    </row>
    <row r="27" customFormat="false" ht="15" hidden="false" customHeight="false" outlineLevel="0" collapsed="false">
      <c r="B27" s="3" t="s">
        <v>206</v>
      </c>
      <c r="C27" s="11" t="n">
        <f aca="false">C9-C13</f>
        <v>11655000</v>
      </c>
    </row>
    <row r="28" customFormat="false" ht="15" hidden="false" customHeight="false" outlineLevel="0" collapsed="false">
      <c r="B28" s="6" t="s">
        <v>207</v>
      </c>
      <c r="C28" s="20" t="n">
        <f aca="false">C27/C9</f>
        <v>0.35</v>
      </c>
    </row>
    <row r="29" customFormat="false" ht="15" hidden="false" customHeight="false" outlineLevel="0" collapsed="false">
      <c r="B29" s="6" t="s">
        <v>208</v>
      </c>
      <c r="C29" s="11" t="n">
        <f aca="false">C27/Assumptions!$C$6</f>
        <v>58275</v>
      </c>
    </row>
    <row r="32" customFormat="false" ht="15" hidden="false" customHeight="false" outlineLevel="0" collapsed="false">
      <c r="B32" s="7" t="s">
        <v>40</v>
      </c>
      <c r="C32" s="7"/>
      <c r="D32" s="7"/>
    </row>
  </sheetData>
  <mergeCells count="7">
    <mergeCell ref="B1:D1"/>
    <mergeCell ref="B2:D2"/>
    <mergeCell ref="B4:D4"/>
    <mergeCell ref="B11:D11"/>
    <mergeCell ref="B20:D20"/>
    <mergeCell ref="B26:D26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8" min="3" style="0" width="15"/>
  </cols>
  <sheetData>
    <row r="1" customFormat="false" ht="27.75" hidden="false" customHeight="true" outlineLevel="0" collapsed="false">
      <c r="B1" s="1" t="s">
        <v>209</v>
      </c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B2" s="2" t="s">
        <v>210</v>
      </c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21" t="s">
        <v>211</v>
      </c>
      <c r="C4" s="22" t="s">
        <v>212</v>
      </c>
      <c r="D4" s="22" t="s">
        <v>66</v>
      </c>
      <c r="E4" s="22" t="s">
        <v>156</v>
      </c>
      <c r="F4" s="22" t="s">
        <v>157</v>
      </c>
      <c r="G4" s="22" t="s">
        <v>158</v>
      </c>
      <c r="H4" s="22" t="s">
        <v>159</v>
      </c>
    </row>
    <row r="5" customFormat="false" ht="21.75" hidden="false" customHeight="true" outlineLevel="0" collapsed="false">
      <c r="B5" s="5" t="s">
        <v>213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B6" s="3" t="s">
        <v>214</v>
      </c>
      <c r="C6" s="11" t="n">
        <v>0</v>
      </c>
      <c r="D6" s="23" t="n">
        <f aca="false">Proforma!C30</f>
        <v>2040240</v>
      </c>
      <c r="E6" s="23" t="n">
        <f aca="false">Proforma!D30</f>
        <v>2099757.9</v>
      </c>
      <c r="F6" s="23" t="n">
        <f aca="false">Proforma!E30</f>
        <v>2160953.1045</v>
      </c>
      <c r="G6" s="23" t="n">
        <f aca="false">Proforma!F30</f>
        <v>2223870.5868225</v>
      </c>
      <c r="H6" s="23" t="n">
        <f aca="false">Proforma!G30</f>
        <v>2288556.43024436</v>
      </c>
    </row>
    <row r="7" customFormat="false" ht="15" hidden="false" customHeight="false" outlineLevel="0" collapsed="false">
      <c r="B7" s="6" t="s">
        <v>215</v>
      </c>
      <c r="C7" s="34" t="n">
        <v>0</v>
      </c>
      <c r="D7" s="23" t="n">
        <f aca="false">-'Debt &amp; Equity'!C17</f>
        <v>-1298700</v>
      </c>
      <c r="E7" s="23" t="n">
        <f aca="false">-'Debt &amp; Equity'!C17</f>
        <v>-1298700</v>
      </c>
      <c r="F7" s="23" t="n">
        <f aca="false">-'Debt &amp; Equity'!C18</f>
        <v>-1557272.53403176</v>
      </c>
      <c r="G7" s="23" t="n">
        <f aca="false">-'Debt &amp; Equity'!C18</f>
        <v>-1557272.53403176</v>
      </c>
      <c r="H7" s="23" t="n">
        <f aca="false">-'Debt &amp; Equity'!C18</f>
        <v>-1557272.53403176</v>
      </c>
    </row>
    <row r="8" customFormat="false" ht="15" hidden="false" customHeight="false" outlineLevel="0" collapsed="false">
      <c r="B8" s="3" t="s">
        <v>216</v>
      </c>
      <c r="C8" s="34" t="n">
        <v>0</v>
      </c>
      <c r="D8" s="24" t="n">
        <f aca="false">D6+D7</f>
        <v>741540</v>
      </c>
      <c r="E8" s="24" t="n">
        <f aca="false">E6+E7</f>
        <v>801057.9</v>
      </c>
      <c r="F8" s="24" t="n">
        <f aca="false">F6+F7</f>
        <v>603680.570468241</v>
      </c>
      <c r="G8" s="24" t="n">
        <f aca="false">G6+G7</f>
        <v>666598.052790741</v>
      </c>
      <c r="H8" s="24" t="n">
        <f aca="false">H6+H7</f>
        <v>731283.896212603</v>
      </c>
    </row>
    <row r="10" customFormat="false" ht="21.75" hidden="false" customHeight="true" outlineLevel="0" collapsed="false">
      <c r="B10" s="5" t="s">
        <v>217</v>
      </c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B11" s="3" t="s">
        <v>218</v>
      </c>
      <c r="H11" s="11" t="n">
        <f aca="false">Proforma!G28/Assumptions!$C$37</f>
        <v>40952786.1509889</v>
      </c>
    </row>
    <row r="12" customFormat="false" ht="15" hidden="false" customHeight="false" outlineLevel="0" collapsed="false">
      <c r="B12" s="6" t="s">
        <v>219</v>
      </c>
      <c r="H12" s="11" t="n">
        <f aca="false">-H11*Assumptions!$C$38</f>
        <v>-819055.723019778</v>
      </c>
    </row>
    <row r="13" customFormat="false" ht="15" hidden="false" customHeight="false" outlineLevel="0" collapsed="false">
      <c r="B13" s="6" t="s">
        <v>220</v>
      </c>
      <c r="H13" s="23" t="n">
        <f aca="false">-'Debt &amp; Equity'!C13</f>
        <v>-21645000</v>
      </c>
    </row>
    <row r="14" customFormat="false" ht="15" hidden="false" customHeight="false" outlineLevel="0" collapsed="false">
      <c r="B14" s="3" t="s">
        <v>221</v>
      </c>
      <c r="H14" s="27" t="n">
        <f aca="false">SUM(H11:H13)</f>
        <v>18488730.4279691</v>
      </c>
    </row>
    <row r="16" customFormat="false" ht="21.75" hidden="false" customHeight="true" outlineLevel="0" collapsed="false">
      <c r="B16" s="5" t="s">
        <v>222</v>
      </c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B17" s="3" t="s">
        <v>223</v>
      </c>
      <c r="C17" s="23" t="n">
        <f aca="false">-'Debt &amp; Equity'!C27</f>
        <v>-11655000</v>
      </c>
      <c r="D17" s="34" t="n">
        <v>0</v>
      </c>
      <c r="E17" s="34" t="n">
        <v>0</v>
      </c>
      <c r="F17" s="34" t="n">
        <v>0</v>
      </c>
      <c r="G17" s="34" t="n">
        <v>0</v>
      </c>
      <c r="H17" s="34" t="n">
        <v>0</v>
      </c>
    </row>
    <row r="18" customFormat="false" ht="15" hidden="false" customHeight="false" outlineLevel="0" collapsed="false">
      <c r="B18" s="6" t="s">
        <v>224</v>
      </c>
      <c r="C18" s="34" t="n">
        <v>0</v>
      </c>
      <c r="D18" s="11" t="n">
        <f aca="false">D8</f>
        <v>741540</v>
      </c>
      <c r="E18" s="11" t="n">
        <f aca="false">E8</f>
        <v>801057.9</v>
      </c>
      <c r="F18" s="11" t="n">
        <f aca="false">F8</f>
        <v>603680.570468241</v>
      </c>
      <c r="G18" s="11" t="n">
        <f aca="false">G8</f>
        <v>666598.052790741</v>
      </c>
      <c r="H18" s="11" t="n">
        <f aca="false">H8</f>
        <v>731283.896212603</v>
      </c>
    </row>
    <row r="19" customFormat="false" ht="15" hidden="false" customHeight="false" outlineLevel="0" collapsed="false">
      <c r="B19" s="6" t="s">
        <v>225</v>
      </c>
      <c r="C19" s="34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f aca="false">H14</f>
        <v>18488730.4279691</v>
      </c>
    </row>
    <row r="20" customFormat="false" ht="15" hidden="false" customHeight="false" outlineLevel="0" collapsed="false">
      <c r="B20" s="3" t="s">
        <v>226</v>
      </c>
      <c r="C20" s="25" t="n">
        <f aca="false">C17+C18+C19</f>
        <v>-11655000</v>
      </c>
      <c r="D20" s="25" t="n">
        <f aca="false">D17+D18+D19</f>
        <v>741540</v>
      </c>
      <c r="E20" s="25" t="n">
        <f aca="false">E17+E18+E19</f>
        <v>801057.9</v>
      </c>
      <c r="F20" s="25" t="n">
        <f aca="false">F17+F18+F19</f>
        <v>603680.570468241</v>
      </c>
      <c r="G20" s="25" t="n">
        <f aca="false">G17+G18+G19</f>
        <v>666598.052790741</v>
      </c>
      <c r="H20" s="25" t="n">
        <f aca="false">H17+H18+H19</f>
        <v>19220014.3241817</v>
      </c>
    </row>
    <row r="22" customFormat="false" ht="21.75" hidden="false" customHeight="true" outlineLevel="0" collapsed="false">
      <c r="B22" s="5" t="s">
        <v>227</v>
      </c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B23" s="3" t="s">
        <v>228</v>
      </c>
      <c r="C23" s="20" t="n">
        <f aca="false">IFERROR(IRR(C20:H20),0)</f>
        <v>0.148453740959404</v>
      </c>
    </row>
    <row r="24" customFormat="false" ht="15" hidden="false" customHeight="false" outlineLevel="0" collapsed="false">
      <c r="B24" s="3" t="s">
        <v>229</v>
      </c>
      <c r="C24" s="32" t="n">
        <f aca="false">IFERROR(SUM(D20:H20)/(-C20),0)</f>
        <v>1.89042392513434</v>
      </c>
    </row>
    <row r="25" customFormat="false" ht="15" hidden="false" customHeight="false" outlineLevel="0" collapsed="false">
      <c r="B25" s="3" t="s">
        <v>230</v>
      </c>
      <c r="C25" s="20" t="n">
        <f aca="false">IFERROR(AVERAGE(D18:H18)/(-C17),0)</f>
        <v>0.060817853615986</v>
      </c>
    </row>
    <row r="26" customFormat="false" ht="15" hidden="false" customHeight="false" outlineLevel="0" collapsed="false">
      <c r="B26" s="6" t="s">
        <v>231</v>
      </c>
      <c r="C26" s="20" t="n">
        <f aca="false">IFERROR(D18/(-C17),0)</f>
        <v>0.0636241956241956</v>
      </c>
    </row>
    <row r="27" customFormat="false" ht="15" hidden="false" customHeight="false" outlineLevel="0" collapsed="false">
      <c r="B27" s="6" t="s">
        <v>232</v>
      </c>
      <c r="C27" s="20" t="n">
        <f aca="false">IFERROR(H18/(-C17),0)</f>
        <v>0.0627442210392624</v>
      </c>
    </row>
    <row r="30" customFormat="false" ht="15" hidden="false" customHeight="false" outlineLevel="0" collapsed="false">
      <c r="B30" s="7" t="s">
        <v>40</v>
      </c>
      <c r="C30" s="7"/>
      <c r="D30" s="7"/>
      <c r="E30" s="7"/>
      <c r="F30" s="7"/>
      <c r="G30" s="7"/>
      <c r="H30" s="7"/>
    </row>
  </sheetData>
  <mergeCells count="7">
    <mergeCell ref="B1:H1"/>
    <mergeCell ref="B2:H2"/>
    <mergeCell ref="B5:H5"/>
    <mergeCell ref="B10:H10"/>
    <mergeCell ref="B16:H16"/>
    <mergeCell ref="B22:H22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1" t="s">
        <v>233</v>
      </c>
      <c r="C1" s="1"/>
      <c r="D1" s="1"/>
      <c r="E1" s="1"/>
      <c r="F1" s="1"/>
      <c r="G1" s="1"/>
    </row>
    <row r="2" customFormat="false" ht="15" hidden="false" customHeight="true" outlineLevel="0" collapsed="false">
      <c r="B2" s="2" t="s">
        <v>234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6"/>
      <c r="C4" s="35" t="s">
        <v>235</v>
      </c>
      <c r="D4" s="35"/>
      <c r="E4" s="35"/>
      <c r="F4" s="35"/>
      <c r="G4" s="35"/>
    </row>
    <row r="5" customFormat="false" ht="15" hidden="false" customHeight="false" outlineLevel="0" collapsed="false">
      <c r="B5" s="21" t="s">
        <v>236</v>
      </c>
      <c r="C5" s="36" t="n">
        <v>0.01</v>
      </c>
      <c r="D5" s="36" t="n">
        <v>0.02</v>
      </c>
      <c r="E5" s="36" t="n">
        <v>0.03</v>
      </c>
      <c r="F5" s="36" t="n">
        <v>0.04</v>
      </c>
      <c r="G5" s="36" t="n">
        <v>0.05</v>
      </c>
    </row>
    <row r="6" customFormat="false" ht="15" hidden="false" customHeight="false" outlineLevel="0" collapsed="false">
      <c r="B6" s="37" t="n">
        <v>0.05</v>
      </c>
      <c r="C6" s="38" t="n">
        <f aca="false">Returns!C23+((Assumptions!$C$37)-B6)*6+(0.01-(Assumptions!$C$33))*3</f>
        <v>0.133453740959404</v>
      </c>
      <c r="D6" s="38" t="n">
        <f aca="false">Returns!C23+((Assumptions!$C$37)-B6)*6+(0.02-(Assumptions!$C$33))*3</f>
        <v>0.163453740959404</v>
      </c>
      <c r="E6" s="38" t="n">
        <f aca="false">Returns!C23+((Assumptions!$C$37)-B6)*6+(0.03-(Assumptions!$C$33))*3</f>
        <v>0.193453740959404</v>
      </c>
      <c r="F6" s="38" t="n">
        <f aca="false">Returns!C23+((Assumptions!$C$37)-B6)*6+(0.04-(Assumptions!$C$33))*3</f>
        <v>0.223453740959404</v>
      </c>
      <c r="G6" s="38" t="n">
        <f aca="false">Returns!C23+((Assumptions!$C$37)-B6)*6+(0.05-(Assumptions!$C$33))*3</f>
        <v>0.253453740959404</v>
      </c>
    </row>
    <row r="7" customFormat="false" ht="15" hidden="false" customHeight="false" outlineLevel="0" collapsed="false">
      <c r="B7" s="37" t="n">
        <v>0.055</v>
      </c>
      <c r="C7" s="38" t="n">
        <f aca="false">Returns!C23+((Assumptions!$C$37)-B7)*6+(0.01-(Assumptions!$C$33))*3</f>
        <v>0.103453740959404</v>
      </c>
      <c r="D7" s="38" t="n">
        <f aca="false">Returns!C23+((Assumptions!$C$37)-B7)*6+(0.02-(Assumptions!$C$33))*3</f>
        <v>0.133453740959404</v>
      </c>
      <c r="E7" s="38" t="n">
        <f aca="false">Returns!C23+((Assumptions!$C$37)-B7)*6+(0.03-(Assumptions!$C$33))*3</f>
        <v>0.163453740959404</v>
      </c>
      <c r="F7" s="38" t="n">
        <f aca="false">Returns!C23+((Assumptions!$C$37)-B7)*6+(0.04-(Assumptions!$C$33))*3</f>
        <v>0.193453740959404</v>
      </c>
      <c r="G7" s="38" t="n">
        <f aca="false">Returns!C23+((Assumptions!$C$37)-B7)*6+(0.05-(Assumptions!$C$33))*3</f>
        <v>0.223453740959404</v>
      </c>
    </row>
    <row r="8" customFormat="false" ht="15" hidden="false" customHeight="false" outlineLevel="0" collapsed="false">
      <c r="B8" s="37" t="n">
        <v>0.0575</v>
      </c>
      <c r="C8" s="38" t="n">
        <f aca="false">Returns!C23+((Assumptions!$C$37)-B8)*6+(0.01-(Assumptions!$C$33))*3</f>
        <v>0.0884537409594038</v>
      </c>
      <c r="D8" s="38" t="n">
        <f aca="false">Returns!C23+((Assumptions!$C$37)-B8)*6+(0.02-(Assumptions!$C$33))*3</f>
        <v>0.118453740959404</v>
      </c>
      <c r="E8" s="39" t="n">
        <f aca="false">Returns!C23+((Assumptions!$C$37)-B8)*6+(0.03-(Assumptions!$C$33))*3</f>
        <v>0.148453740959404</v>
      </c>
      <c r="F8" s="38" t="n">
        <f aca="false">Returns!C23+((Assumptions!$C$37)-B8)*6+(0.04-(Assumptions!$C$33))*3</f>
        <v>0.178453740959404</v>
      </c>
      <c r="G8" s="38" t="n">
        <f aca="false">Returns!C23+((Assumptions!$C$37)-B8)*6+(0.05-(Assumptions!$C$33))*3</f>
        <v>0.208453740959404</v>
      </c>
    </row>
    <row r="9" customFormat="false" ht="15" hidden="false" customHeight="false" outlineLevel="0" collapsed="false">
      <c r="B9" s="37" t="n">
        <v>0.0625</v>
      </c>
      <c r="C9" s="38" t="n">
        <f aca="false">Returns!C23+((Assumptions!$C$37)-B9)*6+(0.01-(Assumptions!$C$33))*3</f>
        <v>0.0584537409594038</v>
      </c>
      <c r="D9" s="38" t="n">
        <f aca="false">Returns!C23+((Assumptions!$C$37)-B9)*6+(0.02-(Assumptions!$C$33))*3</f>
        <v>0.0884537409594038</v>
      </c>
      <c r="E9" s="38" t="n">
        <f aca="false">Returns!C23+((Assumptions!$C$37)-B9)*6+(0.03-(Assumptions!$C$33))*3</f>
        <v>0.118453740959404</v>
      </c>
      <c r="F9" s="38" t="n">
        <f aca="false">Returns!C23+((Assumptions!$C$37)-B9)*6+(0.04-(Assumptions!$C$33))*3</f>
        <v>0.148453740959404</v>
      </c>
      <c r="G9" s="38" t="n">
        <f aca="false">Returns!C23+((Assumptions!$C$37)-B9)*6+(0.05-(Assumptions!$C$33))*3</f>
        <v>0.178453740959404</v>
      </c>
    </row>
    <row r="10" customFormat="false" ht="15" hidden="false" customHeight="false" outlineLevel="0" collapsed="false">
      <c r="B10" s="37" t="n">
        <v>0.07</v>
      </c>
      <c r="C10" s="38" t="n">
        <f aca="false">Returns!C23+((Assumptions!$C$37)-B10)*6+(0.01-(Assumptions!$C$33))*3</f>
        <v>0.0134537409594038</v>
      </c>
      <c r="D10" s="38" t="n">
        <f aca="false">Returns!C23+((Assumptions!$C$37)-B10)*6+(0.02-(Assumptions!$C$33))*3</f>
        <v>0.0434537409594038</v>
      </c>
      <c r="E10" s="38" t="n">
        <f aca="false">Returns!C23+((Assumptions!$C$37)-B10)*6+(0.03-(Assumptions!$C$33))*3</f>
        <v>0.0734537409594038</v>
      </c>
      <c r="F10" s="38" t="n">
        <f aca="false">Returns!C23+((Assumptions!$C$37)-B10)*6+(0.04-(Assumptions!$C$33))*3</f>
        <v>0.103453740959404</v>
      </c>
      <c r="G10" s="38" t="n">
        <f aca="false">Returns!C23+((Assumptions!$C$37)-B10)*6+(0.05-(Assumptions!$C$33))*3</f>
        <v>0.133453740959404</v>
      </c>
    </row>
    <row r="13" customFormat="false" ht="15" hidden="false" customHeight="false" outlineLevel="0" collapsed="false">
      <c r="B13" s="9" t="s">
        <v>237</v>
      </c>
    </row>
    <row r="14" customFormat="false" ht="15" hidden="false" customHeight="false" outlineLevel="0" collapsed="false">
      <c r="B14" s="9" t="s">
        <v>238</v>
      </c>
    </row>
    <row r="15" customFormat="false" ht="15" hidden="false" customHeight="false" outlineLevel="0" collapsed="false">
      <c r="B15" s="9" t="s">
        <v>239</v>
      </c>
    </row>
    <row r="19" customFormat="false" ht="15" hidden="false" customHeight="false" outlineLevel="0" collapsed="false">
      <c r="B19" s="7" t="s">
        <v>40</v>
      </c>
      <c r="C19" s="7"/>
      <c r="D19" s="7"/>
      <c r="E19" s="7"/>
      <c r="F19" s="7"/>
      <c r="G19" s="7"/>
    </row>
  </sheetData>
  <mergeCells count="4">
    <mergeCell ref="B1:G1"/>
    <mergeCell ref="B2:G2"/>
    <mergeCell ref="C4:G4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B1" s="1" t="s">
        <v>240</v>
      </c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B2" s="2" t="s">
        <v>39</v>
      </c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40" t="s">
        <v>241</v>
      </c>
      <c r="C4" s="40"/>
      <c r="D4" s="40"/>
      <c r="F4" s="40" t="s">
        <v>242</v>
      </c>
      <c r="G4" s="40"/>
      <c r="H4" s="40"/>
    </row>
    <row r="5" customFormat="false" ht="15" hidden="false" customHeight="false" outlineLevel="0" collapsed="false">
      <c r="B5" s="6" t="s">
        <v>44</v>
      </c>
      <c r="C5" s="11" t="n">
        <f aca="false">Assumptions!$C$5</f>
        <v>30000000</v>
      </c>
      <c r="F5" s="6" t="s">
        <v>243</v>
      </c>
      <c r="G5" s="23" t="n">
        <f aca="false">'Debt &amp; Equity'!C13</f>
        <v>21645000</v>
      </c>
    </row>
    <row r="6" customFormat="false" ht="15" hidden="false" customHeight="false" outlineLevel="0" collapsed="false">
      <c r="B6" s="6" t="s">
        <v>190</v>
      </c>
      <c r="C6" s="11" t="n">
        <f aca="false">Assumptions!$C$5*Assumptions!$C$11</f>
        <v>450000</v>
      </c>
      <c r="F6" s="6" t="s">
        <v>244</v>
      </c>
      <c r="G6" s="11" t="n">
        <f aca="false">(C10-G5)*0.95</f>
        <v>11277877.5</v>
      </c>
    </row>
    <row r="7" customFormat="false" ht="15" hidden="false" customHeight="false" outlineLevel="0" collapsed="false">
      <c r="B7" s="6" t="s">
        <v>191</v>
      </c>
      <c r="C7" s="11" t="n">
        <f aca="false">Assumptions!$C$5*Assumptions!$C$12</f>
        <v>450000</v>
      </c>
      <c r="F7" s="6" t="s">
        <v>245</v>
      </c>
      <c r="G7" s="11" t="n">
        <f aca="false">(C10-G5)*0.05</f>
        <v>593572.5</v>
      </c>
    </row>
    <row r="8" customFormat="false" ht="15" hidden="false" customHeight="false" outlineLevel="0" collapsed="false">
      <c r="B8" s="6" t="s">
        <v>246</v>
      </c>
      <c r="C8" s="11" t="n">
        <f aca="false">Assumptions!$C$52*Assumptions!$C$6</f>
        <v>2400000</v>
      </c>
      <c r="F8" s="3" t="s">
        <v>247</v>
      </c>
      <c r="G8" s="41" t="n">
        <f aca="false">SUM(G5:G7)</f>
        <v>33516450</v>
      </c>
    </row>
    <row r="9" customFormat="false" ht="15" hidden="false" customHeight="false" outlineLevel="0" collapsed="false">
      <c r="B9" s="6" t="s">
        <v>248</v>
      </c>
      <c r="C9" s="11" t="n">
        <f aca="false">'Debt &amp; Equity'!C13*Assumptions!$C$47</f>
        <v>216450</v>
      </c>
    </row>
    <row r="10" customFormat="false" ht="15" hidden="false" customHeight="false" outlineLevel="0" collapsed="false">
      <c r="B10" s="3" t="s">
        <v>249</v>
      </c>
      <c r="C10" s="41" t="n">
        <f aca="false">SUM(C5:C9)</f>
        <v>33516450</v>
      </c>
    </row>
    <row r="12" customFormat="false" ht="15" hidden="false" customHeight="false" outlineLevel="0" collapsed="false">
      <c r="B12" s="3" t="s">
        <v>250</v>
      </c>
      <c r="C12" s="11" t="n">
        <f aca="false">G8-C10</f>
        <v>0</v>
      </c>
    </row>
    <row r="15" customFormat="false" ht="15" hidden="false" customHeight="false" outlineLevel="0" collapsed="false">
      <c r="B15" s="7" t="s">
        <v>40</v>
      </c>
      <c r="C15" s="7"/>
      <c r="D15" s="7"/>
      <c r="E15" s="7"/>
      <c r="F15" s="7"/>
      <c r="G15" s="7"/>
      <c r="H15" s="7"/>
    </row>
  </sheetData>
  <mergeCells count="5">
    <mergeCell ref="B1:H1"/>
    <mergeCell ref="B2:H2"/>
    <mergeCell ref="B4:D4"/>
    <mergeCell ref="F4:H4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2026-04-22T01:18:23Z</dcterms:created>
  <dc:creator>openpyxl</dc:creator>
  <dc:description/>
  <dc:language>en-US</dc:language>
  <cp:lastModifiedBy/>
  <dcterms:modified xsi:type="dcterms:W3CDTF">2026-04-22T01:18:23Z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